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jd43lx6xc6/study/qltt-parking-lot-management/docs/"/>
    </mc:Choice>
  </mc:AlternateContent>
  <xr:revisionPtr revIDLastSave="0" documentId="13_ncr:1_{AB62C8B7-0D95-2749-86C5-F17E868ABC94}" xr6:coauthVersionLast="47" xr6:coauthVersionMax="47" xr10:uidLastSave="{00000000-0000-0000-0000-000000000000}"/>
  <bookViews>
    <workbookView xWindow="1120" yWindow="660" windowWidth="29120" windowHeight="18980" tabRatio="500" activeTab="3" xr2:uid="{00000000-000D-0000-FFFF-FFFF00000000}"/>
  </bookViews>
  <sheets>
    <sheet name="HuongDan" sheetId="1" r:id="rId1"/>
    <sheet name="ThamSo" sheetId="2" r:id="rId2"/>
    <sheet name="KiemTra" sheetId="3" r:id="rId3"/>
    <sheet name="BAI_DO_XE" sheetId="5" r:id="rId4"/>
    <sheet name="NHAN_VIEN" sheetId="6" r:id="rId5"/>
    <sheet name="TAI_KHOAN" sheetId="7" r:id="rId6"/>
    <sheet name="LOAI_XE" sheetId="8" r:id="rId7"/>
    <sheet name="VI_TRI_DO" sheetId="9" r:id="rId8"/>
    <sheet name="THE_XE" sheetId="10" r:id="rId9"/>
    <sheet name="KHACH_HANG" sheetId="11" r:id="rId10"/>
    <sheet name="VE_THANG" sheetId="12" r:id="rId11"/>
    <sheet name="HOA_DON_VE_THANG" sheetId="13" r:id="rId12"/>
    <sheet name="LUOT_GUI" sheetId="14" r:id="rId13"/>
    <sheet name="LICHSU_SU_CO" sheetId="15" r:id="rId14"/>
    <sheet name="BC_CongSuat" sheetId="16" r:id="rId15"/>
    <sheet name="BC_DoanhThu" sheetId="17" r:id="rId16"/>
    <sheet name="BC_VeThang" sheetId="18" r:id="rId17"/>
  </sheets>
  <definedNames>
    <definedName name="_xlnm._FilterDatabase" localSheetId="3" hidden="1">BAI_DO_XE!$A$1:$Q$6</definedName>
    <definedName name="_xlnm._FilterDatabase" localSheetId="14" hidden="1">BC_CongSuat!$A$1:$F$6</definedName>
    <definedName name="_xlnm._FilterDatabase" localSheetId="15" hidden="1">BC_DoanhThu!$A$1:$G$6</definedName>
    <definedName name="_xlnm._FilterDatabase" localSheetId="16" hidden="1">BC_VeThang!$A$1:$I$11</definedName>
    <definedName name="_xlnm._FilterDatabase" localSheetId="11" hidden="1">HOA_DON_VE_THANG!$A$1:$T$11</definedName>
    <definedName name="_xlnm._FilterDatabase" localSheetId="9" hidden="1">KHACH_HANG!$A$1:$L$11</definedName>
    <definedName name="_xlnm._FilterDatabase" localSheetId="13" hidden="1">LICHSU_SU_CO!$A$1:$Q$5</definedName>
    <definedName name="_xlnm._FilterDatabase" localSheetId="6" hidden="1">LOAI_XE!$A$1:$K$16</definedName>
    <definedName name="_xlnm._FilterDatabase" localSheetId="12" hidden="1">LUOT_GUI!$A$1:$AC$19</definedName>
    <definedName name="_xlnm._FilterDatabase" localSheetId="4" hidden="1">NHAN_VIEN!$A$1:$N$12</definedName>
    <definedName name="_xlnm._FilterDatabase" localSheetId="5" hidden="1">TAI_KHOAN!$A$1:$K$13</definedName>
    <definedName name="_xlnm._FilterDatabase" localSheetId="8" hidden="1">THE_XE!$A$1:$S$26</definedName>
    <definedName name="_xlnm._FilterDatabase" localSheetId="10" hidden="1">VE_THANG!$A$1:$AA$11</definedName>
    <definedName name="_xlnm._FilterDatabase" localSheetId="7" hidden="1">VI_TRI_DO!$A$1:$K$61</definedName>
    <definedName name="LechGioMayVsDB">ThamSo!$B$4</definedName>
    <definedName name="NguongCursorNgay">ThamSo!$B$7</definedName>
    <definedName name="NguongDoanhThuRatCao">ThamSo!$B$10</definedName>
    <definedName name="NguongDoanhThuTot">ThamSo!$B$11</definedName>
    <definedName name="NguongViewNgay">ThamSo!$B$8</definedName>
    <definedName name="PhatMatThe">ThamSo!$B$9</definedName>
    <definedName name="PhutMienPhi">ThamSo!$B$5</definedName>
    <definedName name="PhutMoiBlock">ThamSo!$B$6</definedName>
    <definedName name="ThoiDiemNap">ThamSo!$B$2</definedName>
    <definedName name="ThoiDiemTinh">ThamSo!$B$3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1" i="18" l="1"/>
  <c r="D11" i="18"/>
  <c r="B11" i="18"/>
  <c r="E10" i="18"/>
  <c r="D10" i="18"/>
  <c r="B10" i="18"/>
  <c r="E9" i="18"/>
  <c r="D9" i="18"/>
  <c r="B9" i="18"/>
  <c r="E8" i="18"/>
  <c r="D8" i="18"/>
  <c r="B8" i="18"/>
  <c r="E7" i="18"/>
  <c r="D7" i="18"/>
  <c r="B7" i="18"/>
  <c r="E6" i="18"/>
  <c r="D6" i="18"/>
  <c r="B6" i="18"/>
  <c r="E5" i="18"/>
  <c r="D5" i="18"/>
  <c r="B5" i="18"/>
  <c r="E4" i="18"/>
  <c r="D4" i="18"/>
  <c r="B4" i="18"/>
  <c r="E3" i="18"/>
  <c r="D3" i="18"/>
  <c r="B3" i="18"/>
  <c r="E2" i="18"/>
  <c r="D2" i="18"/>
  <c r="B2" i="18"/>
  <c r="B6" i="17"/>
  <c r="B5" i="17"/>
  <c r="B4" i="17"/>
  <c r="B3" i="17"/>
  <c r="B2" i="17"/>
  <c r="B6" i="16"/>
  <c r="B5" i="16"/>
  <c r="B4" i="16"/>
  <c r="B3" i="16"/>
  <c r="B2" i="16"/>
  <c r="Q5" i="15"/>
  <c r="N5" i="15"/>
  <c r="M5" i="15"/>
  <c r="L5" i="15"/>
  <c r="K5" i="15"/>
  <c r="J5" i="15"/>
  <c r="F5" i="15" s="1"/>
  <c r="O5" i="15" s="1"/>
  <c r="Q4" i="15"/>
  <c r="P4" i="15"/>
  <c r="N4" i="15"/>
  <c r="M4" i="15"/>
  <c r="L4" i="15"/>
  <c r="K4" i="15"/>
  <c r="J4" i="15"/>
  <c r="F4" i="15"/>
  <c r="O4" i="15" s="1"/>
  <c r="Q3" i="15"/>
  <c r="P3" i="15"/>
  <c r="N3" i="15"/>
  <c r="M3" i="15"/>
  <c r="L3" i="15"/>
  <c r="K3" i="15"/>
  <c r="J3" i="15"/>
  <c r="F3" i="15" s="1"/>
  <c r="O3" i="15" s="1"/>
  <c r="Q2" i="15"/>
  <c r="N2" i="15"/>
  <c r="M2" i="15"/>
  <c r="L2" i="15"/>
  <c r="K2" i="15"/>
  <c r="J2" i="15"/>
  <c r="F2" i="15" s="1"/>
  <c r="O2" i="15" s="1"/>
  <c r="D61" i="3" s="1"/>
  <c r="E61" i="3" s="1"/>
  <c r="Y19" i="14"/>
  <c r="X19" i="14"/>
  <c r="W19" i="14"/>
  <c r="V19" i="14"/>
  <c r="U19" i="14"/>
  <c r="AC19" i="14" s="1"/>
  <c r="T19" i="14"/>
  <c r="S19" i="14"/>
  <c r="M19" i="14"/>
  <c r="N19" i="14" s="1"/>
  <c r="L19" i="14"/>
  <c r="AB19" i="14" s="1"/>
  <c r="G19" i="14"/>
  <c r="E19" i="14"/>
  <c r="AA19" i="14" s="1"/>
  <c r="D19" i="14"/>
  <c r="AA18" i="14"/>
  <c r="Z18" i="14"/>
  <c r="Y18" i="14"/>
  <c r="X18" i="14"/>
  <c r="W18" i="14"/>
  <c r="V18" i="14"/>
  <c r="T18" i="14"/>
  <c r="U18" i="14" s="1"/>
  <c r="AC18" i="14" s="1"/>
  <c r="S18" i="14"/>
  <c r="N18" i="14"/>
  <c r="M18" i="14"/>
  <c r="L18" i="14"/>
  <c r="R18" i="14" s="1"/>
  <c r="E18" i="14"/>
  <c r="G18" i="14" s="1"/>
  <c r="D18" i="14"/>
  <c r="AA17" i="14"/>
  <c r="Z17" i="14"/>
  <c r="Y17" i="14"/>
  <c r="X17" i="14"/>
  <c r="W17" i="14"/>
  <c r="V17" i="14"/>
  <c r="T17" i="14"/>
  <c r="U17" i="14" s="1"/>
  <c r="AC17" i="14" s="1"/>
  <c r="S17" i="14"/>
  <c r="M17" i="14"/>
  <c r="N17" i="14" s="1"/>
  <c r="L17" i="14"/>
  <c r="E17" i="14"/>
  <c r="G17" i="14" s="1"/>
  <c r="D17" i="14"/>
  <c r="AB16" i="14"/>
  <c r="AA16" i="14"/>
  <c r="Z16" i="14"/>
  <c r="Y16" i="14"/>
  <c r="X16" i="14"/>
  <c r="W16" i="14"/>
  <c r="V16" i="14"/>
  <c r="T16" i="14"/>
  <c r="U16" i="14" s="1"/>
  <c r="AC16" i="14" s="1"/>
  <c r="S16" i="14"/>
  <c r="R16" i="14"/>
  <c r="M16" i="14"/>
  <c r="N16" i="14" s="1"/>
  <c r="L16" i="14"/>
  <c r="E16" i="14"/>
  <c r="G16" i="14" s="1"/>
  <c r="D16" i="14"/>
  <c r="AC15" i="14"/>
  <c r="AB15" i="14"/>
  <c r="AA15" i="14"/>
  <c r="Z15" i="14"/>
  <c r="Y15" i="14"/>
  <c r="X15" i="14"/>
  <c r="W15" i="14"/>
  <c r="V15" i="14"/>
  <c r="U15" i="14"/>
  <c r="T15" i="14"/>
  <c r="S15" i="14"/>
  <c r="N15" i="14"/>
  <c r="M15" i="14"/>
  <c r="L15" i="14"/>
  <c r="G15" i="14"/>
  <c r="E15" i="14"/>
  <c r="D15" i="14"/>
  <c r="AB14" i="14"/>
  <c r="AA14" i="14"/>
  <c r="Z14" i="14"/>
  <c r="Y14" i="14"/>
  <c r="X14" i="14"/>
  <c r="W14" i="14"/>
  <c r="V14" i="14"/>
  <c r="T14" i="14"/>
  <c r="U14" i="14" s="1"/>
  <c r="AC14" i="14" s="1"/>
  <c r="S14" i="14"/>
  <c r="M14" i="14"/>
  <c r="N14" i="14" s="1"/>
  <c r="L14" i="14"/>
  <c r="E14" i="14"/>
  <c r="G14" i="14" s="1"/>
  <c r="D14" i="14"/>
  <c r="AC13" i="14"/>
  <c r="AB13" i="14"/>
  <c r="AA13" i="14"/>
  <c r="Y13" i="14"/>
  <c r="X13" i="14"/>
  <c r="W13" i="14"/>
  <c r="V13" i="14"/>
  <c r="U13" i="14"/>
  <c r="T13" i="14"/>
  <c r="S13" i="14"/>
  <c r="Z13" i="14" s="1"/>
  <c r="N13" i="14"/>
  <c r="M13" i="14"/>
  <c r="L13" i="14"/>
  <c r="G13" i="14"/>
  <c r="E13" i="14"/>
  <c r="D13" i="14"/>
  <c r="Y12" i="14"/>
  <c r="X12" i="14"/>
  <c r="W12" i="14"/>
  <c r="V12" i="14"/>
  <c r="T12" i="14"/>
  <c r="U12" i="14" s="1"/>
  <c r="AC12" i="14" s="1"/>
  <c r="S12" i="14"/>
  <c r="R12" i="14"/>
  <c r="N12" i="14"/>
  <c r="M12" i="14"/>
  <c r="L12" i="14"/>
  <c r="Z12" i="14" s="1"/>
  <c r="E12" i="14"/>
  <c r="AA12" i="14" s="1"/>
  <c r="D12" i="14"/>
  <c r="AB11" i="14"/>
  <c r="Z11" i="14"/>
  <c r="Y11" i="14"/>
  <c r="X11" i="14"/>
  <c r="W11" i="14"/>
  <c r="V11" i="14"/>
  <c r="U11" i="14"/>
  <c r="AC11" i="14" s="1"/>
  <c r="T11" i="14"/>
  <c r="S11" i="14"/>
  <c r="M11" i="14"/>
  <c r="N11" i="14" s="1"/>
  <c r="L11" i="14"/>
  <c r="G11" i="14"/>
  <c r="E11" i="14"/>
  <c r="AA11" i="14" s="1"/>
  <c r="D11" i="14"/>
  <c r="AA10" i="14"/>
  <c r="X10" i="14"/>
  <c r="W10" i="14"/>
  <c r="V10" i="14"/>
  <c r="T10" i="14"/>
  <c r="U10" i="14" s="1"/>
  <c r="AC10" i="14" s="1"/>
  <c r="S10" i="14"/>
  <c r="N10" i="14"/>
  <c r="M10" i="14"/>
  <c r="L10" i="14"/>
  <c r="E10" i="14"/>
  <c r="AB10" i="14" s="1"/>
  <c r="D10" i="14"/>
  <c r="AB9" i="14"/>
  <c r="AA9" i="14"/>
  <c r="Y9" i="14"/>
  <c r="X9" i="14"/>
  <c r="W9" i="14"/>
  <c r="V9" i="14"/>
  <c r="T9" i="14"/>
  <c r="U9" i="14" s="1"/>
  <c r="AC9" i="14" s="1"/>
  <c r="S9" i="14"/>
  <c r="O9" i="14"/>
  <c r="P9" i="14" s="1"/>
  <c r="Q9" i="14" s="1"/>
  <c r="R9" i="14" s="1"/>
  <c r="M9" i="14"/>
  <c r="N9" i="14" s="1"/>
  <c r="L9" i="14"/>
  <c r="Z9" i="14" s="1"/>
  <c r="E9" i="14"/>
  <c r="D9" i="14"/>
  <c r="AC8" i="14"/>
  <c r="AB8" i="14"/>
  <c r="Z8" i="14"/>
  <c r="X8" i="14"/>
  <c r="W8" i="14"/>
  <c r="V8" i="14"/>
  <c r="U8" i="14"/>
  <c r="T8" i="14"/>
  <c r="S8" i="14"/>
  <c r="R8" i="14"/>
  <c r="G8" i="14" s="1"/>
  <c r="P8" i="14"/>
  <c r="Q8" i="14" s="1"/>
  <c r="O8" i="14"/>
  <c r="N8" i="14"/>
  <c r="M8" i="14"/>
  <c r="L8" i="14"/>
  <c r="Y8" i="14" s="1"/>
  <c r="E8" i="14"/>
  <c r="D8" i="14"/>
  <c r="AA8" i="14" s="1"/>
  <c r="AA7" i="14"/>
  <c r="Y7" i="14"/>
  <c r="X7" i="14"/>
  <c r="W7" i="14"/>
  <c r="V7" i="14"/>
  <c r="T7" i="14"/>
  <c r="U7" i="14" s="1"/>
  <c r="AC7" i="14" s="1"/>
  <c r="S7" i="14"/>
  <c r="O7" i="14"/>
  <c r="P7" i="14" s="1"/>
  <c r="Q7" i="14" s="1"/>
  <c r="N7" i="14"/>
  <c r="M7" i="14"/>
  <c r="L7" i="14"/>
  <c r="E7" i="14"/>
  <c r="D7" i="14"/>
  <c r="AB6" i="14"/>
  <c r="Z6" i="14"/>
  <c r="Y6" i="14"/>
  <c r="X6" i="14"/>
  <c r="W6" i="14"/>
  <c r="V6" i="14"/>
  <c r="U6" i="14"/>
  <c r="AC6" i="14" s="1"/>
  <c r="T6" i="14"/>
  <c r="S6" i="14"/>
  <c r="M6" i="14"/>
  <c r="N6" i="14" s="1"/>
  <c r="L6" i="14"/>
  <c r="E6" i="14"/>
  <c r="AA6" i="14" s="1"/>
  <c r="D6" i="14"/>
  <c r="AC5" i="14"/>
  <c r="AB5" i="14"/>
  <c r="AA5" i="14"/>
  <c r="X5" i="14"/>
  <c r="W5" i="14"/>
  <c r="V5" i="14"/>
  <c r="U5" i="14"/>
  <c r="T5" i="14"/>
  <c r="S5" i="14"/>
  <c r="O5" i="14"/>
  <c r="N5" i="14"/>
  <c r="M5" i="14"/>
  <c r="L5" i="14"/>
  <c r="R5" i="14" s="1"/>
  <c r="G5" i="14" s="1"/>
  <c r="H2" i="5" s="1"/>
  <c r="C2" i="17" s="1"/>
  <c r="E5" i="14"/>
  <c r="D5" i="14"/>
  <c r="P5" i="14" s="1"/>
  <c r="Q5" i="14" s="1"/>
  <c r="AB4" i="14"/>
  <c r="X4" i="14"/>
  <c r="W4" i="14"/>
  <c r="V4" i="14"/>
  <c r="T4" i="14"/>
  <c r="U4" i="14" s="1"/>
  <c r="AC4" i="14" s="1"/>
  <c r="S4" i="14"/>
  <c r="M4" i="14"/>
  <c r="N4" i="14" s="1"/>
  <c r="L4" i="14"/>
  <c r="Y4" i="14" s="1"/>
  <c r="E4" i="14"/>
  <c r="O4" i="14" s="1"/>
  <c r="P4" i="14" s="1"/>
  <c r="Q4" i="14" s="1"/>
  <c r="D4" i="14"/>
  <c r="AC3" i="14"/>
  <c r="AB3" i="14"/>
  <c r="Y3" i="14"/>
  <c r="X3" i="14"/>
  <c r="W3" i="14"/>
  <c r="V3" i="14"/>
  <c r="U3" i="14"/>
  <c r="T3" i="14"/>
  <c r="S3" i="14"/>
  <c r="Z3" i="14" s="1"/>
  <c r="O3" i="14"/>
  <c r="N3" i="14"/>
  <c r="M3" i="14"/>
  <c r="L3" i="14"/>
  <c r="E3" i="14"/>
  <c r="D3" i="14"/>
  <c r="P3" i="14" s="1"/>
  <c r="Q3" i="14" s="1"/>
  <c r="R3" i="14" s="1"/>
  <c r="G3" i="14" s="1"/>
  <c r="Y2" i="14"/>
  <c r="X2" i="14"/>
  <c r="W2" i="14"/>
  <c r="V2" i="14"/>
  <c r="T2" i="14"/>
  <c r="U2" i="14" s="1"/>
  <c r="AC2" i="14" s="1"/>
  <c r="S2" i="14"/>
  <c r="O2" i="14"/>
  <c r="P2" i="14" s="1"/>
  <c r="Q2" i="14" s="1"/>
  <c r="N2" i="14"/>
  <c r="M2" i="14"/>
  <c r="L2" i="14"/>
  <c r="Z2" i="14" s="1"/>
  <c r="E2" i="14"/>
  <c r="AA2" i="14" s="1"/>
  <c r="D2" i="14"/>
  <c r="S11" i="13"/>
  <c r="Q11" i="13"/>
  <c r="N11" i="13"/>
  <c r="O11" i="13" s="1"/>
  <c r="G11" i="12" s="1"/>
  <c r="L11" i="13"/>
  <c r="K11" i="13"/>
  <c r="J11" i="13"/>
  <c r="M11" i="13" s="1"/>
  <c r="E11" i="13" s="1"/>
  <c r="R11" i="13" s="1"/>
  <c r="C11" i="13"/>
  <c r="A11" i="13"/>
  <c r="Q10" i="13"/>
  <c r="K10" i="13"/>
  <c r="L10" i="13" s="1"/>
  <c r="J10" i="13"/>
  <c r="M10" i="13" s="1"/>
  <c r="E10" i="13" s="1"/>
  <c r="R10" i="13" s="1"/>
  <c r="C10" i="13"/>
  <c r="T10" i="13" s="1"/>
  <c r="T9" i="13"/>
  <c r="S9" i="13"/>
  <c r="Q9" i="13"/>
  <c r="L9" i="13"/>
  <c r="K9" i="13"/>
  <c r="J9" i="13"/>
  <c r="M9" i="13" s="1"/>
  <c r="E9" i="13" s="1"/>
  <c r="R9" i="13" s="1"/>
  <c r="C9" i="13"/>
  <c r="A9" i="13"/>
  <c r="S8" i="13"/>
  <c r="Q8" i="13"/>
  <c r="N8" i="13"/>
  <c r="O8" i="13" s="1"/>
  <c r="K8" i="13"/>
  <c r="L8" i="13" s="1"/>
  <c r="M8" i="13" s="1"/>
  <c r="E8" i="13" s="1"/>
  <c r="R8" i="13" s="1"/>
  <c r="J8" i="13"/>
  <c r="C8" i="13"/>
  <c r="T8" i="13" s="1"/>
  <c r="Q7" i="13"/>
  <c r="M7" i="13"/>
  <c r="E7" i="13" s="1"/>
  <c r="R7" i="13" s="1"/>
  <c r="L7" i="13"/>
  <c r="K7" i="13"/>
  <c r="S7" i="13" s="1"/>
  <c r="J7" i="13"/>
  <c r="C7" i="13"/>
  <c r="T7" i="13" s="1"/>
  <c r="S6" i="13"/>
  <c r="Q6" i="13"/>
  <c r="N6" i="13"/>
  <c r="O6" i="13" s="1"/>
  <c r="G6" i="12" s="1"/>
  <c r="L6" i="13"/>
  <c r="M6" i="13" s="1"/>
  <c r="E6" i="13" s="1"/>
  <c r="K6" i="13"/>
  <c r="J6" i="13"/>
  <c r="C6" i="13"/>
  <c r="A6" i="13"/>
  <c r="Q5" i="13"/>
  <c r="K5" i="13"/>
  <c r="L5" i="13" s="1"/>
  <c r="J5" i="13"/>
  <c r="M5" i="13" s="1"/>
  <c r="E5" i="13" s="1"/>
  <c r="R5" i="13" s="1"/>
  <c r="C5" i="13"/>
  <c r="T5" i="13" s="1"/>
  <c r="T4" i="13"/>
  <c r="S4" i="13"/>
  <c r="Q4" i="13"/>
  <c r="L4" i="13"/>
  <c r="K4" i="13"/>
  <c r="J4" i="13"/>
  <c r="M4" i="13" s="1"/>
  <c r="E4" i="13" s="1"/>
  <c r="C4" i="13"/>
  <c r="A4" i="13"/>
  <c r="S3" i="13"/>
  <c r="Q3" i="13"/>
  <c r="N3" i="13"/>
  <c r="O3" i="13" s="1"/>
  <c r="K3" i="13"/>
  <c r="L3" i="13" s="1"/>
  <c r="M3" i="13" s="1"/>
  <c r="E3" i="13" s="1"/>
  <c r="R3" i="13" s="1"/>
  <c r="J3" i="13"/>
  <c r="C3" i="13"/>
  <c r="T3" i="13" s="1"/>
  <c r="T2" i="13"/>
  <c r="Q2" i="13"/>
  <c r="M2" i="13"/>
  <c r="E2" i="13" s="1"/>
  <c r="L2" i="13"/>
  <c r="K2" i="13"/>
  <c r="S2" i="13" s="1"/>
  <c r="J2" i="13"/>
  <c r="C2" i="13"/>
  <c r="A2" i="13" s="1"/>
  <c r="X11" i="12"/>
  <c r="W11" i="12"/>
  <c r="V11" i="12"/>
  <c r="U11" i="12"/>
  <c r="T11" i="12"/>
  <c r="S11" i="12"/>
  <c r="R11" i="12"/>
  <c r="Q11" i="12"/>
  <c r="M11" i="12"/>
  <c r="Y11" i="12" s="1"/>
  <c r="L11" i="12"/>
  <c r="C10" i="18" s="1"/>
  <c r="F11" i="12"/>
  <c r="X10" i="12"/>
  <c r="W10" i="12"/>
  <c r="V10" i="12"/>
  <c r="U10" i="12"/>
  <c r="T10" i="12"/>
  <c r="S10" i="12"/>
  <c r="R10" i="12"/>
  <c r="Q10" i="12"/>
  <c r="M10" i="12"/>
  <c r="Y10" i="12" s="1"/>
  <c r="L10" i="12"/>
  <c r="C7" i="18" s="1"/>
  <c r="F10" i="12"/>
  <c r="N10" i="13" s="1"/>
  <c r="O10" i="13" s="1"/>
  <c r="G10" i="12" s="1"/>
  <c r="Y9" i="12"/>
  <c r="X9" i="12"/>
  <c r="W9" i="12"/>
  <c r="V9" i="12"/>
  <c r="U9" i="12"/>
  <c r="T9" i="12"/>
  <c r="S9" i="12"/>
  <c r="R9" i="12"/>
  <c r="Q9" i="12"/>
  <c r="M9" i="12"/>
  <c r="L9" i="12"/>
  <c r="C3" i="18" s="1"/>
  <c r="F9" i="12"/>
  <c r="N9" i="13" s="1"/>
  <c r="O9" i="13" s="1"/>
  <c r="G9" i="12" s="1"/>
  <c r="Y8" i="12"/>
  <c r="X8" i="12"/>
  <c r="W8" i="12"/>
  <c r="V8" i="12"/>
  <c r="U8" i="12"/>
  <c r="T8" i="12"/>
  <c r="S8" i="12"/>
  <c r="R8" i="12"/>
  <c r="Q8" i="12"/>
  <c r="M8" i="12"/>
  <c r="G8" i="12" s="1"/>
  <c r="L8" i="12"/>
  <c r="C4" i="18" s="1"/>
  <c r="F8" i="12"/>
  <c r="X7" i="12"/>
  <c r="W7" i="12"/>
  <c r="V7" i="12"/>
  <c r="U7" i="12"/>
  <c r="T7" i="12"/>
  <c r="S7" i="12"/>
  <c r="R7" i="12"/>
  <c r="Q7" i="12"/>
  <c r="M7" i="12"/>
  <c r="Y7" i="12" s="1"/>
  <c r="L7" i="12"/>
  <c r="C11" i="18" s="1"/>
  <c r="F7" i="12"/>
  <c r="N7" i="13" s="1"/>
  <c r="O7" i="13" s="1"/>
  <c r="X6" i="12"/>
  <c r="W6" i="12"/>
  <c r="V6" i="12"/>
  <c r="U6" i="12"/>
  <c r="T6" i="12"/>
  <c r="S6" i="12"/>
  <c r="R6" i="12"/>
  <c r="Q6" i="12"/>
  <c r="M6" i="12"/>
  <c r="Y6" i="12" s="1"/>
  <c r="L6" i="12"/>
  <c r="C9" i="18" s="1"/>
  <c r="F6" i="12"/>
  <c r="X5" i="12"/>
  <c r="W5" i="12"/>
  <c r="V5" i="12"/>
  <c r="U5" i="12"/>
  <c r="T5" i="12"/>
  <c r="S5" i="12"/>
  <c r="R5" i="12"/>
  <c r="Q5" i="12"/>
  <c r="M5" i="12"/>
  <c r="Y5" i="12" s="1"/>
  <c r="L5" i="12"/>
  <c r="C6" i="18" s="1"/>
  <c r="F5" i="12"/>
  <c r="N5" i="13" s="1"/>
  <c r="O5" i="13" s="1"/>
  <c r="G5" i="12" s="1"/>
  <c r="Y4" i="12"/>
  <c r="X4" i="12"/>
  <c r="W4" i="12"/>
  <c r="V4" i="12"/>
  <c r="U4" i="12"/>
  <c r="T4" i="12"/>
  <c r="S4" i="12"/>
  <c r="R4" i="12"/>
  <c r="Q4" i="12"/>
  <c r="M4" i="12"/>
  <c r="L4" i="12"/>
  <c r="C2" i="18" s="1"/>
  <c r="F4" i="12"/>
  <c r="N4" i="13" s="1"/>
  <c r="O4" i="13" s="1"/>
  <c r="G4" i="12" s="1"/>
  <c r="Y3" i="12"/>
  <c r="X3" i="12"/>
  <c r="W3" i="12"/>
  <c r="V3" i="12"/>
  <c r="U3" i="12"/>
  <c r="T3" i="12"/>
  <c r="S3" i="12"/>
  <c r="R3" i="12"/>
  <c r="Q3" i="12"/>
  <c r="M3" i="12"/>
  <c r="G3" i="12" s="1"/>
  <c r="L3" i="12"/>
  <c r="C5" i="18" s="1"/>
  <c r="F3" i="12"/>
  <c r="X2" i="12"/>
  <c r="W2" i="12"/>
  <c r="V2" i="12"/>
  <c r="U2" i="12"/>
  <c r="T2" i="12"/>
  <c r="S2" i="12"/>
  <c r="R2" i="12"/>
  <c r="Q2" i="12"/>
  <c r="M2" i="12"/>
  <c r="Y2" i="12" s="1"/>
  <c r="L2" i="12"/>
  <c r="C8" i="18" s="1"/>
  <c r="F2" i="12"/>
  <c r="N2" i="13" s="1"/>
  <c r="O2" i="13" s="1"/>
  <c r="G2" i="12" s="1"/>
  <c r="L11" i="11"/>
  <c r="K11" i="11"/>
  <c r="J11" i="11"/>
  <c r="I11" i="11"/>
  <c r="H11" i="11"/>
  <c r="G11" i="11"/>
  <c r="F11" i="11"/>
  <c r="L10" i="11"/>
  <c r="K10" i="11"/>
  <c r="J10" i="11"/>
  <c r="I10" i="11"/>
  <c r="H10" i="11"/>
  <c r="G10" i="11"/>
  <c r="F10" i="11"/>
  <c r="L9" i="11"/>
  <c r="K9" i="11"/>
  <c r="J9" i="11"/>
  <c r="I9" i="11"/>
  <c r="H9" i="11"/>
  <c r="G9" i="11"/>
  <c r="F9" i="11"/>
  <c r="L8" i="11"/>
  <c r="K8" i="11"/>
  <c r="J8" i="11"/>
  <c r="I8" i="11"/>
  <c r="H8" i="11"/>
  <c r="G8" i="11"/>
  <c r="F8" i="11"/>
  <c r="L7" i="11"/>
  <c r="K7" i="11"/>
  <c r="J7" i="11"/>
  <c r="I7" i="11"/>
  <c r="H7" i="11"/>
  <c r="G7" i="11"/>
  <c r="F7" i="11"/>
  <c r="L6" i="11"/>
  <c r="K6" i="11"/>
  <c r="J6" i="11"/>
  <c r="I6" i="11"/>
  <c r="H6" i="11"/>
  <c r="G6" i="11"/>
  <c r="F6" i="11"/>
  <c r="L5" i="11"/>
  <c r="K5" i="11"/>
  <c r="J5" i="11"/>
  <c r="I5" i="11"/>
  <c r="H5" i="11"/>
  <c r="G5" i="11"/>
  <c r="F5" i="11"/>
  <c r="L4" i="11"/>
  <c r="K4" i="11"/>
  <c r="J4" i="11"/>
  <c r="I4" i="11"/>
  <c r="H4" i="11"/>
  <c r="G4" i="11"/>
  <c r="F4" i="11"/>
  <c r="L3" i="11"/>
  <c r="K3" i="11"/>
  <c r="J3" i="11"/>
  <c r="I3" i="11"/>
  <c r="H3" i="11"/>
  <c r="G3" i="11"/>
  <c r="F3" i="11"/>
  <c r="L2" i="11"/>
  <c r="K2" i="11"/>
  <c r="J2" i="11"/>
  <c r="I2" i="11"/>
  <c r="H2" i="11"/>
  <c r="G2" i="11"/>
  <c r="F2" i="11"/>
  <c r="Q26" i="10"/>
  <c r="P26" i="10"/>
  <c r="O26" i="10"/>
  <c r="N26" i="10"/>
  <c r="M26" i="10"/>
  <c r="L26" i="10"/>
  <c r="K26" i="10"/>
  <c r="J26" i="10"/>
  <c r="I26" i="10"/>
  <c r="H26" i="10"/>
  <c r="R26" i="10" s="1"/>
  <c r="E26" i="10"/>
  <c r="S25" i="10"/>
  <c r="P25" i="10"/>
  <c r="O25" i="10"/>
  <c r="N25" i="10"/>
  <c r="L25" i="10"/>
  <c r="K25" i="10"/>
  <c r="I25" i="10"/>
  <c r="Q25" i="10" s="1"/>
  <c r="H25" i="10"/>
  <c r="R25" i="10" s="1"/>
  <c r="E25" i="10"/>
  <c r="S24" i="10"/>
  <c r="Q24" i="10"/>
  <c r="P24" i="10"/>
  <c r="O24" i="10"/>
  <c r="N24" i="10"/>
  <c r="L24" i="10"/>
  <c r="K24" i="10"/>
  <c r="J24" i="10"/>
  <c r="I24" i="10"/>
  <c r="M24" i="10" s="1"/>
  <c r="H24" i="10"/>
  <c r="R24" i="10" s="1"/>
  <c r="E24" i="10"/>
  <c r="S23" i="10"/>
  <c r="Q23" i="10"/>
  <c r="P23" i="10"/>
  <c r="O23" i="10"/>
  <c r="N23" i="10"/>
  <c r="L23" i="10"/>
  <c r="K23" i="10"/>
  <c r="I23" i="10"/>
  <c r="H23" i="10"/>
  <c r="R23" i="10" s="1"/>
  <c r="E23" i="10"/>
  <c r="S22" i="10"/>
  <c r="Q22" i="10"/>
  <c r="P22" i="10"/>
  <c r="O22" i="10"/>
  <c r="N22" i="10"/>
  <c r="L22" i="10"/>
  <c r="K22" i="10"/>
  <c r="J22" i="10"/>
  <c r="I22" i="10"/>
  <c r="H22" i="10"/>
  <c r="R22" i="10" s="1"/>
  <c r="E22" i="10"/>
  <c r="Q21" i="10"/>
  <c r="P21" i="10"/>
  <c r="O21" i="10"/>
  <c r="N21" i="10"/>
  <c r="M21" i="10"/>
  <c r="L21" i="10"/>
  <c r="K21" i="10"/>
  <c r="J21" i="10"/>
  <c r="I21" i="10"/>
  <c r="H21" i="10"/>
  <c r="S21" i="10" s="1"/>
  <c r="E21" i="10"/>
  <c r="S20" i="10"/>
  <c r="P20" i="10"/>
  <c r="O20" i="10"/>
  <c r="N20" i="10"/>
  <c r="L20" i="10"/>
  <c r="K20" i="10"/>
  <c r="I20" i="10"/>
  <c r="Q20" i="10" s="1"/>
  <c r="H20" i="10"/>
  <c r="R20" i="10" s="1"/>
  <c r="E20" i="10"/>
  <c r="S19" i="10"/>
  <c r="Q19" i="10"/>
  <c r="P19" i="10"/>
  <c r="O19" i="10"/>
  <c r="N19" i="10"/>
  <c r="L19" i="10"/>
  <c r="K19" i="10"/>
  <c r="J19" i="10"/>
  <c r="I19" i="10"/>
  <c r="H19" i="10"/>
  <c r="R19" i="10" s="1"/>
  <c r="E19" i="10"/>
  <c r="S18" i="10"/>
  <c r="P18" i="10"/>
  <c r="O18" i="10"/>
  <c r="N18" i="10"/>
  <c r="L18" i="10"/>
  <c r="K18" i="10"/>
  <c r="I18" i="10"/>
  <c r="Q18" i="10" s="1"/>
  <c r="H18" i="10"/>
  <c r="R18" i="10" s="1"/>
  <c r="E18" i="10"/>
  <c r="S17" i="10"/>
  <c r="Q17" i="10"/>
  <c r="P17" i="10"/>
  <c r="O17" i="10"/>
  <c r="N17" i="10"/>
  <c r="L17" i="10"/>
  <c r="K17" i="10"/>
  <c r="J17" i="10"/>
  <c r="I17" i="10"/>
  <c r="H17" i="10"/>
  <c r="R17" i="10" s="1"/>
  <c r="E17" i="10"/>
  <c r="S16" i="10"/>
  <c r="Q16" i="10"/>
  <c r="P16" i="10"/>
  <c r="O16" i="10"/>
  <c r="N16" i="10"/>
  <c r="L16" i="10"/>
  <c r="K16" i="10"/>
  <c r="J16" i="10"/>
  <c r="I16" i="10"/>
  <c r="H16" i="10"/>
  <c r="R16" i="10" s="1"/>
  <c r="E16" i="10"/>
  <c r="S15" i="10"/>
  <c r="P15" i="10"/>
  <c r="O15" i="10"/>
  <c r="N15" i="10"/>
  <c r="L15" i="10"/>
  <c r="K15" i="10"/>
  <c r="I15" i="10"/>
  <c r="Q15" i="10" s="1"/>
  <c r="H15" i="10"/>
  <c r="R15" i="10" s="1"/>
  <c r="E15" i="10"/>
  <c r="S14" i="10"/>
  <c r="Q14" i="10"/>
  <c r="P14" i="10"/>
  <c r="O14" i="10"/>
  <c r="N14" i="10"/>
  <c r="L14" i="10"/>
  <c r="K14" i="10"/>
  <c r="J14" i="10"/>
  <c r="I14" i="10"/>
  <c r="M14" i="10" s="1"/>
  <c r="H14" i="10"/>
  <c r="R14" i="10" s="1"/>
  <c r="E14" i="10"/>
  <c r="S13" i="10"/>
  <c r="Q13" i="10"/>
  <c r="P13" i="10"/>
  <c r="O13" i="10"/>
  <c r="N13" i="10"/>
  <c r="L13" i="10"/>
  <c r="K13" i="10"/>
  <c r="I13" i="10"/>
  <c r="H13" i="10"/>
  <c r="R13" i="10" s="1"/>
  <c r="E13" i="10"/>
  <c r="S12" i="10"/>
  <c r="Q12" i="10"/>
  <c r="P12" i="10"/>
  <c r="O12" i="10"/>
  <c r="N12" i="10"/>
  <c r="L12" i="10"/>
  <c r="K12" i="10"/>
  <c r="J12" i="10"/>
  <c r="I12" i="10"/>
  <c r="H12" i="10"/>
  <c r="R12" i="10" s="1"/>
  <c r="E12" i="10"/>
  <c r="S11" i="10"/>
  <c r="Q11" i="10"/>
  <c r="P11" i="10"/>
  <c r="O11" i="10"/>
  <c r="N11" i="10"/>
  <c r="L11" i="10"/>
  <c r="K11" i="10"/>
  <c r="I11" i="10"/>
  <c r="H11" i="10"/>
  <c r="R11" i="10" s="1"/>
  <c r="E11" i="10"/>
  <c r="S10" i="10"/>
  <c r="Q10" i="10"/>
  <c r="P10" i="10"/>
  <c r="O10" i="10"/>
  <c r="N10" i="10"/>
  <c r="L10" i="10"/>
  <c r="K10" i="10"/>
  <c r="J10" i="10"/>
  <c r="I10" i="10"/>
  <c r="M10" i="10" s="1"/>
  <c r="H10" i="10"/>
  <c r="R10" i="10" s="1"/>
  <c r="E10" i="10"/>
  <c r="S9" i="10"/>
  <c r="Q9" i="10"/>
  <c r="P9" i="10"/>
  <c r="O9" i="10"/>
  <c r="N9" i="10"/>
  <c r="L9" i="10"/>
  <c r="K9" i="10"/>
  <c r="I9" i="10"/>
  <c r="H9" i="10"/>
  <c r="R9" i="10" s="1"/>
  <c r="E9" i="10"/>
  <c r="S8" i="10"/>
  <c r="Q8" i="10"/>
  <c r="P8" i="10"/>
  <c r="O8" i="10"/>
  <c r="N8" i="10"/>
  <c r="L8" i="10"/>
  <c r="K8" i="10"/>
  <c r="J8" i="10"/>
  <c r="I8" i="10"/>
  <c r="M8" i="10" s="1"/>
  <c r="H8" i="10"/>
  <c r="R8" i="10" s="1"/>
  <c r="E8" i="10"/>
  <c r="Q7" i="10"/>
  <c r="P7" i="10"/>
  <c r="O7" i="10"/>
  <c r="N7" i="10"/>
  <c r="M7" i="10"/>
  <c r="L7" i="10"/>
  <c r="K7" i="10"/>
  <c r="J7" i="10"/>
  <c r="I7" i="10"/>
  <c r="H7" i="10"/>
  <c r="S7" i="10" s="1"/>
  <c r="E7" i="10"/>
  <c r="Q6" i="10"/>
  <c r="P6" i="10"/>
  <c r="O6" i="10"/>
  <c r="N6" i="10"/>
  <c r="M6" i="10"/>
  <c r="L6" i="10"/>
  <c r="K6" i="10"/>
  <c r="J6" i="10"/>
  <c r="I6" i="10"/>
  <c r="H6" i="10"/>
  <c r="R6" i="10" s="1"/>
  <c r="E6" i="10"/>
  <c r="S5" i="10"/>
  <c r="P5" i="10"/>
  <c r="O5" i="10"/>
  <c r="N5" i="10"/>
  <c r="L5" i="10"/>
  <c r="K5" i="10"/>
  <c r="I5" i="10"/>
  <c r="Q5" i="10" s="1"/>
  <c r="H5" i="10"/>
  <c r="R5" i="10" s="1"/>
  <c r="E5" i="10"/>
  <c r="S4" i="10"/>
  <c r="Q4" i="10"/>
  <c r="P4" i="10"/>
  <c r="O4" i="10"/>
  <c r="N4" i="10"/>
  <c r="L4" i="10"/>
  <c r="K4" i="10"/>
  <c r="J4" i="10"/>
  <c r="I4" i="10"/>
  <c r="M4" i="10" s="1"/>
  <c r="H4" i="10"/>
  <c r="R4" i="10" s="1"/>
  <c r="E4" i="10"/>
  <c r="S3" i="10"/>
  <c r="Q3" i="10"/>
  <c r="P3" i="10"/>
  <c r="O3" i="10"/>
  <c r="N3" i="10"/>
  <c r="L3" i="10"/>
  <c r="K3" i="10"/>
  <c r="I3" i="10"/>
  <c r="H3" i="10"/>
  <c r="R3" i="10" s="1"/>
  <c r="E3" i="10"/>
  <c r="S2" i="10"/>
  <c r="Q2" i="10"/>
  <c r="P2" i="10"/>
  <c r="O2" i="10"/>
  <c r="N2" i="10"/>
  <c r="L2" i="10"/>
  <c r="K2" i="10"/>
  <c r="J2" i="10"/>
  <c r="I2" i="10"/>
  <c r="H2" i="10"/>
  <c r="R2" i="10" s="1"/>
  <c r="E2" i="10"/>
  <c r="K61" i="9"/>
  <c r="J61" i="9"/>
  <c r="I61" i="9"/>
  <c r="H61" i="9"/>
  <c r="G61" i="9"/>
  <c r="F61" i="9"/>
  <c r="C61" i="9" s="1"/>
  <c r="J60" i="9"/>
  <c r="I60" i="9"/>
  <c r="H60" i="9"/>
  <c r="G60" i="9"/>
  <c r="F60" i="9"/>
  <c r="K60" i="9" s="1"/>
  <c r="C60" i="9"/>
  <c r="J59" i="9"/>
  <c r="I59" i="9"/>
  <c r="H59" i="9"/>
  <c r="G59" i="9"/>
  <c r="F59" i="9"/>
  <c r="C59" i="9" s="1"/>
  <c r="J58" i="9"/>
  <c r="I58" i="9"/>
  <c r="H58" i="9"/>
  <c r="G58" i="9"/>
  <c r="F58" i="9"/>
  <c r="C58" i="9" s="1"/>
  <c r="J57" i="9"/>
  <c r="I57" i="9"/>
  <c r="H57" i="9"/>
  <c r="G57" i="9"/>
  <c r="F57" i="9"/>
  <c r="K57" i="9" s="1"/>
  <c r="J56" i="9"/>
  <c r="I56" i="9"/>
  <c r="H56" i="9"/>
  <c r="G56" i="9"/>
  <c r="F56" i="9"/>
  <c r="K56" i="9" s="1"/>
  <c r="C56" i="9"/>
  <c r="K55" i="9"/>
  <c r="J55" i="9"/>
  <c r="I55" i="9"/>
  <c r="H55" i="9"/>
  <c r="G55" i="9"/>
  <c r="F55" i="9"/>
  <c r="C55" i="9"/>
  <c r="K54" i="9"/>
  <c r="J54" i="9"/>
  <c r="I54" i="9"/>
  <c r="H54" i="9"/>
  <c r="G54" i="9"/>
  <c r="F54" i="9"/>
  <c r="C54" i="9" s="1"/>
  <c r="K53" i="9"/>
  <c r="J53" i="9"/>
  <c r="I53" i="9"/>
  <c r="H53" i="9"/>
  <c r="G53" i="9"/>
  <c r="F53" i="9"/>
  <c r="C53" i="9" s="1"/>
  <c r="K52" i="9"/>
  <c r="J52" i="9"/>
  <c r="I52" i="9"/>
  <c r="H52" i="9"/>
  <c r="G52" i="9"/>
  <c r="F52" i="9"/>
  <c r="C52" i="9"/>
  <c r="K51" i="9"/>
  <c r="J51" i="9"/>
  <c r="I51" i="9"/>
  <c r="H51" i="9"/>
  <c r="G51" i="9"/>
  <c r="F51" i="9"/>
  <c r="C51" i="9"/>
  <c r="J50" i="9"/>
  <c r="I50" i="9"/>
  <c r="H50" i="9"/>
  <c r="G50" i="9"/>
  <c r="F50" i="9"/>
  <c r="K50" i="9" s="1"/>
  <c r="C50" i="9"/>
  <c r="J49" i="9"/>
  <c r="I49" i="9"/>
  <c r="H49" i="9"/>
  <c r="G49" i="9"/>
  <c r="F49" i="9"/>
  <c r="C49" i="9" s="1"/>
  <c r="J48" i="9"/>
  <c r="I48" i="9"/>
  <c r="H48" i="9"/>
  <c r="G48" i="9"/>
  <c r="F48" i="9"/>
  <c r="C48" i="9" s="1"/>
  <c r="J47" i="9"/>
  <c r="I47" i="9"/>
  <c r="H47" i="9"/>
  <c r="G47" i="9"/>
  <c r="F47" i="9"/>
  <c r="K47" i="9" s="1"/>
  <c r="J46" i="9"/>
  <c r="I46" i="9"/>
  <c r="H46" i="9"/>
  <c r="G46" i="9"/>
  <c r="F46" i="9"/>
  <c r="K46" i="9" s="1"/>
  <c r="C46" i="9"/>
  <c r="K45" i="9"/>
  <c r="J45" i="9"/>
  <c r="I45" i="9"/>
  <c r="H45" i="9"/>
  <c r="G45" i="9"/>
  <c r="F45" i="9"/>
  <c r="C45" i="9" s="1"/>
  <c r="K44" i="9"/>
  <c r="J44" i="9"/>
  <c r="I44" i="9"/>
  <c r="H44" i="9"/>
  <c r="G44" i="9"/>
  <c r="F44" i="9"/>
  <c r="C44" i="9" s="1"/>
  <c r="K43" i="9"/>
  <c r="J43" i="9"/>
  <c r="I43" i="9"/>
  <c r="H43" i="9"/>
  <c r="G43" i="9"/>
  <c r="F43" i="9"/>
  <c r="C43" i="9" s="1"/>
  <c r="K42" i="9"/>
  <c r="J42" i="9"/>
  <c r="I42" i="9"/>
  <c r="H42" i="9"/>
  <c r="G42" i="9"/>
  <c r="F42" i="9"/>
  <c r="C42" i="9" s="1"/>
  <c r="H12" i="8" s="1"/>
  <c r="K41" i="9"/>
  <c r="J41" i="9"/>
  <c r="I41" i="9"/>
  <c r="H41" i="9"/>
  <c r="G41" i="9"/>
  <c r="F41" i="9"/>
  <c r="C41" i="9"/>
  <c r="J40" i="9"/>
  <c r="I40" i="9"/>
  <c r="H40" i="9"/>
  <c r="G40" i="9"/>
  <c r="F40" i="9"/>
  <c r="K40" i="9" s="1"/>
  <c r="C40" i="9"/>
  <c r="J39" i="9"/>
  <c r="I39" i="9"/>
  <c r="H39" i="9"/>
  <c r="G39" i="9"/>
  <c r="F39" i="9"/>
  <c r="C39" i="9" s="1"/>
  <c r="J38" i="9"/>
  <c r="I38" i="9"/>
  <c r="H38" i="9"/>
  <c r="G38" i="9"/>
  <c r="F38" i="9"/>
  <c r="C38" i="9" s="1"/>
  <c r="J37" i="9"/>
  <c r="I37" i="9"/>
  <c r="H37" i="9"/>
  <c r="G37" i="9"/>
  <c r="F37" i="9"/>
  <c r="K37" i="9" s="1"/>
  <c r="J36" i="9"/>
  <c r="I36" i="9"/>
  <c r="H36" i="9"/>
  <c r="G36" i="9"/>
  <c r="F36" i="9"/>
  <c r="K36" i="9" s="1"/>
  <c r="C36" i="9"/>
  <c r="K35" i="9"/>
  <c r="J35" i="9"/>
  <c r="I35" i="9"/>
  <c r="H35" i="9"/>
  <c r="G35" i="9"/>
  <c r="F35" i="9"/>
  <c r="C35" i="9"/>
  <c r="K34" i="9"/>
  <c r="J34" i="9"/>
  <c r="I34" i="9"/>
  <c r="H34" i="9"/>
  <c r="G34" i="9"/>
  <c r="F34" i="9"/>
  <c r="C34" i="9" s="1"/>
  <c r="K33" i="9"/>
  <c r="J33" i="9"/>
  <c r="I33" i="9"/>
  <c r="H33" i="9"/>
  <c r="G33" i="9"/>
  <c r="F33" i="9"/>
  <c r="C33" i="9" s="1"/>
  <c r="K32" i="9"/>
  <c r="J32" i="9"/>
  <c r="I32" i="9"/>
  <c r="H32" i="9"/>
  <c r="G32" i="9"/>
  <c r="F32" i="9"/>
  <c r="C32" i="9" s="1"/>
  <c r="K31" i="9"/>
  <c r="J31" i="9"/>
  <c r="I31" i="9"/>
  <c r="H31" i="9"/>
  <c r="G31" i="9"/>
  <c r="F31" i="9"/>
  <c r="C31" i="9"/>
  <c r="J30" i="9"/>
  <c r="I30" i="9"/>
  <c r="H30" i="9"/>
  <c r="G30" i="9"/>
  <c r="F30" i="9"/>
  <c r="K30" i="9" s="1"/>
  <c r="C30" i="9"/>
  <c r="J29" i="9"/>
  <c r="I29" i="9"/>
  <c r="H29" i="9"/>
  <c r="G29" i="9"/>
  <c r="F29" i="9"/>
  <c r="C29" i="9" s="1"/>
  <c r="H9" i="8" s="1"/>
  <c r="J28" i="9"/>
  <c r="I28" i="9"/>
  <c r="H28" i="9"/>
  <c r="G28" i="9"/>
  <c r="F28" i="9"/>
  <c r="C28" i="9" s="1"/>
  <c r="J27" i="9"/>
  <c r="I27" i="9"/>
  <c r="H27" i="9"/>
  <c r="G27" i="9"/>
  <c r="F27" i="9"/>
  <c r="K27" i="9" s="1"/>
  <c r="J26" i="9"/>
  <c r="I26" i="9"/>
  <c r="H26" i="9"/>
  <c r="G26" i="9"/>
  <c r="F26" i="9"/>
  <c r="K26" i="9" s="1"/>
  <c r="C26" i="9"/>
  <c r="K25" i="9"/>
  <c r="J25" i="9"/>
  <c r="I25" i="9"/>
  <c r="H25" i="9"/>
  <c r="G25" i="9"/>
  <c r="F25" i="9"/>
  <c r="C25" i="9"/>
  <c r="K24" i="9"/>
  <c r="J24" i="9"/>
  <c r="I24" i="9"/>
  <c r="H24" i="9"/>
  <c r="G24" i="9"/>
  <c r="F24" i="9"/>
  <c r="C24" i="9"/>
  <c r="K23" i="9"/>
  <c r="J23" i="9"/>
  <c r="I23" i="9"/>
  <c r="H23" i="9"/>
  <c r="G23" i="9"/>
  <c r="F23" i="9"/>
  <c r="C23" i="9"/>
  <c r="K22" i="9"/>
  <c r="J22" i="9"/>
  <c r="I22" i="9"/>
  <c r="H22" i="9"/>
  <c r="G22" i="9"/>
  <c r="F22" i="9"/>
  <c r="C22" i="9" s="1"/>
  <c r="K21" i="9"/>
  <c r="J21" i="9"/>
  <c r="I21" i="9"/>
  <c r="H21" i="9"/>
  <c r="G21" i="9"/>
  <c r="F21" i="9"/>
  <c r="C21" i="9"/>
  <c r="J20" i="9"/>
  <c r="I20" i="9"/>
  <c r="H20" i="9"/>
  <c r="G20" i="9"/>
  <c r="F20" i="9"/>
  <c r="K20" i="9" s="1"/>
  <c r="C20" i="9"/>
  <c r="H7" i="8" s="1"/>
  <c r="J19" i="9"/>
  <c r="I19" i="9"/>
  <c r="H19" i="9"/>
  <c r="G19" i="9"/>
  <c r="F19" i="9"/>
  <c r="C19" i="9" s="1"/>
  <c r="J18" i="9"/>
  <c r="I18" i="9"/>
  <c r="H18" i="9"/>
  <c r="G18" i="9"/>
  <c r="F18" i="9"/>
  <c r="C18" i="9" s="1"/>
  <c r="H6" i="8" s="1"/>
  <c r="J17" i="9"/>
  <c r="I17" i="9"/>
  <c r="H17" i="9"/>
  <c r="G17" i="9"/>
  <c r="F17" i="9"/>
  <c r="K17" i="9" s="1"/>
  <c r="J16" i="9"/>
  <c r="I16" i="9"/>
  <c r="H16" i="9"/>
  <c r="G16" i="9"/>
  <c r="F16" i="9"/>
  <c r="K16" i="9" s="1"/>
  <c r="C16" i="9"/>
  <c r="K15" i="9"/>
  <c r="J15" i="9"/>
  <c r="I15" i="9"/>
  <c r="H15" i="9"/>
  <c r="G15" i="9"/>
  <c r="F15" i="9"/>
  <c r="C15" i="9"/>
  <c r="K14" i="9"/>
  <c r="J14" i="9"/>
  <c r="I14" i="9"/>
  <c r="H14" i="9"/>
  <c r="G14" i="9"/>
  <c r="F14" i="9"/>
  <c r="C14" i="9"/>
  <c r="K13" i="9"/>
  <c r="J13" i="9"/>
  <c r="I13" i="9"/>
  <c r="H13" i="9"/>
  <c r="G13" i="9"/>
  <c r="F13" i="9"/>
  <c r="C13" i="9"/>
  <c r="K12" i="9"/>
  <c r="J12" i="9"/>
  <c r="I12" i="9"/>
  <c r="H12" i="9"/>
  <c r="G12" i="9"/>
  <c r="F12" i="9"/>
  <c r="C12" i="9" s="1"/>
  <c r="K11" i="9"/>
  <c r="J11" i="9"/>
  <c r="I11" i="9"/>
  <c r="H11" i="9"/>
  <c r="G11" i="9"/>
  <c r="F11" i="9"/>
  <c r="C11" i="9"/>
  <c r="J10" i="9"/>
  <c r="I10" i="9"/>
  <c r="H10" i="9"/>
  <c r="G10" i="9"/>
  <c r="F10" i="9"/>
  <c r="K10" i="9" s="1"/>
  <c r="C10" i="9"/>
  <c r="J9" i="9"/>
  <c r="I9" i="9"/>
  <c r="H9" i="9"/>
  <c r="G9" i="9"/>
  <c r="F9" i="9"/>
  <c r="C9" i="9" s="1"/>
  <c r="J8" i="9"/>
  <c r="I8" i="9"/>
  <c r="H8" i="9"/>
  <c r="G8" i="9"/>
  <c r="F8" i="9"/>
  <c r="C8" i="9" s="1"/>
  <c r="H4" i="8" s="1"/>
  <c r="J7" i="9"/>
  <c r="I7" i="9"/>
  <c r="H7" i="9"/>
  <c r="G7" i="9"/>
  <c r="F7" i="9"/>
  <c r="C7" i="9" s="1"/>
  <c r="H3" i="8" s="1"/>
  <c r="J6" i="9"/>
  <c r="I6" i="9"/>
  <c r="H6" i="9"/>
  <c r="G6" i="9"/>
  <c r="F6" i="9"/>
  <c r="K6" i="9" s="1"/>
  <c r="C6" i="9"/>
  <c r="K5" i="9"/>
  <c r="J5" i="9"/>
  <c r="I5" i="9"/>
  <c r="H5" i="9"/>
  <c r="G5" i="9"/>
  <c r="F5" i="9"/>
  <c r="C5" i="9"/>
  <c r="K4" i="9"/>
  <c r="J4" i="9"/>
  <c r="I4" i="9"/>
  <c r="H4" i="9"/>
  <c r="G4" i="9"/>
  <c r="F4" i="9"/>
  <c r="C4" i="9"/>
  <c r="J3" i="9"/>
  <c r="D22" i="3" s="1"/>
  <c r="E22" i="3" s="1"/>
  <c r="I3" i="9"/>
  <c r="H3" i="9"/>
  <c r="G3" i="9"/>
  <c r="F3" i="9"/>
  <c r="K3" i="9" s="1"/>
  <c r="C3" i="9"/>
  <c r="J2" i="9"/>
  <c r="I2" i="9"/>
  <c r="H2" i="9"/>
  <c r="G2" i="9"/>
  <c r="F2" i="9"/>
  <c r="K2" i="9" s="1"/>
  <c r="C2" i="9"/>
  <c r="H2" i="8" s="1"/>
  <c r="K16" i="8"/>
  <c r="J16" i="8"/>
  <c r="I16" i="8"/>
  <c r="G16" i="8"/>
  <c r="F16" i="8"/>
  <c r="K15" i="8"/>
  <c r="J15" i="8"/>
  <c r="I15" i="8"/>
  <c r="H15" i="8"/>
  <c r="G15" i="8"/>
  <c r="F15" i="8"/>
  <c r="K14" i="8"/>
  <c r="J14" i="8"/>
  <c r="I14" i="8"/>
  <c r="G14" i="8"/>
  <c r="F14" i="8"/>
  <c r="K13" i="8"/>
  <c r="J13" i="8"/>
  <c r="I13" i="8"/>
  <c r="G13" i="8"/>
  <c r="F13" i="8"/>
  <c r="K12" i="8"/>
  <c r="J12" i="8"/>
  <c r="I12" i="8"/>
  <c r="G12" i="8"/>
  <c r="F12" i="8"/>
  <c r="K11" i="8"/>
  <c r="J11" i="8"/>
  <c r="I11" i="8"/>
  <c r="G11" i="8"/>
  <c r="F11" i="8"/>
  <c r="K10" i="8"/>
  <c r="J10" i="8"/>
  <c r="I10" i="8"/>
  <c r="H10" i="8"/>
  <c r="G10" i="8"/>
  <c r="F10" i="8"/>
  <c r="K9" i="8"/>
  <c r="J9" i="8"/>
  <c r="I9" i="8"/>
  <c r="G9" i="8"/>
  <c r="F9" i="8"/>
  <c r="K8" i="8"/>
  <c r="J8" i="8"/>
  <c r="I8" i="8"/>
  <c r="G8" i="8"/>
  <c r="F8" i="8"/>
  <c r="K7" i="8"/>
  <c r="J7" i="8"/>
  <c r="I7" i="8"/>
  <c r="G7" i="8"/>
  <c r="F7" i="8"/>
  <c r="K6" i="8"/>
  <c r="J6" i="8"/>
  <c r="I6" i="8"/>
  <c r="G6" i="8"/>
  <c r="F6" i="8"/>
  <c r="K5" i="8"/>
  <c r="J5" i="8"/>
  <c r="I5" i="8"/>
  <c r="G5" i="8"/>
  <c r="F5" i="8"/>
  <c r="K4" i="8"/>
  <c r="J4" i="8"/>
  <c r="I4" i="8"/>
  <c r="G4" i="8"/>
  <c r="F4" i="8"/>
  <c r="K3" i="8"/>
  <c r="J3" i="8"/>
  <c r="I3" i="8"/>
  <c r="G3" i="8"/>
  <c r="F3" i="8"/>
  <c r="K2" i="8"/>
  <c r="J2" i="8"/>
  <c r="I2" i="8"/>
  <c r="G2" i="8"/>
  <c r="F2" i="8"/>
  <c r="K13" i="7"/>
  <c r="J13" i="7"/>
  <c r="I13" i="7"/>
  <c r="H13" i="7"/>
  <c r="G13" i="7"/>
  <c r="F13" i="7"/>
  <c r="K12" i="7"/>
  <c r="J12" i="7"/>
  <c r="I12" i="7"/>
  <c r="H12" i="7"/>
  <c r="G12" i="7"/>
  <c r="F12" i="7"/>
  <c r="K11" i="7"/>
  <c r="J11" i="7"/>
  <c r="I11" i="7"/>
  <c r="H11" i="7"/>
  <c r="G11" i="7"/>
  <c r="F11" i="7"/>
  <c r="K10" i="7"/>
  <c r="J10" i="7"/>
  <c r="I10" i="7"/>
  <c r="H10" i="7"/>
  <c r="G10" i="7"/>
  <c r="F10" i="7"/>
  <c r="K9" i="7"/>
  <c r="J9" i="7"/>
  <c r="I9" i="7"/>
  <c r="H9" i="7"/>
  <c r="G9" i="7"/>
  <c r="F9" i="7"/>
  <c r="K8" i="7"/>
  <c r="J8" i="7"/>
  <c r="I8" i="7"/>
  <c r="H8" i="7"/>
  <c r="G8" i="7"/>
  <c r="F8" i="7"/>
  <c r="K7" i="7"/>
  <c r="J7" i="7"/>
  <c r="I7" i="7"/>
  <c r="H7" i="7"/>
  <c r="G7" i="7"/>
  <c r="F7" i="7"/>
  <c r="K6" i="7"/>
  <c r="J6" i="7"/>
  <c r="I6" i="7"/>
  <c r="H6" i="7"/>
  <c r="G6" i="7"/>
  <c r="F6" i="7"/>
  <c r="K5" i="7"/>
  <c r="J5" i="7"/>
  <c r="D14" i="3" s="1"/>
  <c r="E14" i="3" s="1"/>
  <c r="I5" i="7"/>
  <c r="H5" i="7"/>
  <c r="G5" i="7"/>
  <c r="F5" i="7"/>
  <c r="K4" i="7"/>
  <c r="J4" i="7"/>
  <c r="I4" i="7"/>
  <c r="H4" i="7"/>
  <c r="G4" i="7"/>
  <c r="F4" i="7"/>
  <c r="K3" i="7"/>
  <c r="J3" i="7"/>
  <c r="I3" i="7"/>
  <c r="H3" i="7"/>
  <c r="G3" i="7"/>
  <c r="F3" i="7"/>
  <c r="K2" i="7"/>
  <c r="J2" i="7"/>
  <c r="I2" i="7"/>
  <c r="D13" i="3" s="1"/>
  <c r="E13" i="3" s="1"/>
  <c r="H2" i="7"/>
  <c r="G2" i="7"/>
  <c r="F2" i="7"/>
  <c r="N12" i="6"/>
  <c r="M12" i="6"/>
  <c r="L12" i="6"/>
  <c r="K12" i="6"/>
  <c r="J12" i="6"/>
  <c r="I12" i="6"/>
  <c r="H12" i="6"/>
  <c r="G12" i="6"/>
  <c r="N11" i="6"/>
  <c r="M11" i="6"/>
  <c r="L11" i="6"/>
  <c r="K11" i="6"/>
  <c r="J11" i="6"/>
  <c r="I11" i="6"/>
  <c r="H11" i="6"/>
  <c r="G11" i="6"/>
  <c r="N10" i="6"/>
  <c r="M10" i="6"/>
  <c r="L10" i="6"/>
  <c r="K10" i="6"/>
  <c r="J10" i="6"/>
  <c r="I10" i="6"/>
  <c r="H10" i="6"/>
  <c r="G10" i="6"/>
  <c r="N9" i="6"/>
  <c r="M9" i="6"/>
  <c r="L9" i="6"/>
  <c r="K9" i="6"/>
  <c r="J9" i="6"/>
  <c r="I9" i="6"/>
  <c r="H9" i="6"/>
  <c r="G9" i="6"/>
  <c r="N8" i="6"/>
  <c r="M8" i="6"/>
  <c r="L8" i="6"/>
  <c r="K8" i="6"/>
  <c r="J8" i="6"/>
  <c r="I8" i="6"/>
  <c r="H8" i="6"/>
  <c r="G8" i="6"/>
  <c r="N7" i="6"/>
  <c r="M7" i="6"/>
  <c r="L7" i="6"/>
  <c r="K7" i="6"/>
  <c r="J7" i="6"/>
  <c r="I7" i="6"/>
  <c r="H7" i="6"/>
  <c r="G7" i="6"/>
  <c r="N6" i="6"/>
  <c r="M6" i="6"/>
  <c r="L6" i="6"/>
  <c r="K6" i="6"/>
  <c r="J6" i="6"/>
  <c r="I6" i="6"/>
  <c r="H6" i="6"/>
  <c r="G6" i="6"/>
  <c r="N5" i="6"/>
  <c r="M5" i="6"/>
  <c r="L5" i="6"/>
  <c r="K5" i="6"/>
  <c r="J5" i="6"/>
  <c r="I5" i="6"/>
  <c r="H5" i="6"/>
  <c r="G5" i="6"/>
  <c r="N4" i="6"/>
  <c r="M4" i="6"/>
  <c r="L4" i="6"/>
  <c r="D10" i="3" s="1"/>
  <c r="E10" i="3" s="1"/>
  <c r="K4" i="6"/>
  <c r="D9" i="3" s="1"/>
  <c r="E9" i="3" s="1"/>
  <c r="J4" i="6"/>
  <c r="I4" i="6"/>
  <c r="H4" i="6"/>
  <c r="G4" i="6"/>
  <c r="N3" i="6"/>
  <c r="M3" i="6"/>
  <c r="L3" i="6"/>
  <c r="K3" i="6"/>
  <c r="J3" i="6"/>
  <c r="I3" i="6"/>
  <c r="H3" i="6"/>
  <c r="G3" i="6"/>
  <c r="N2" i="6"/>
  <c r="M2" i="6"/>
  <c r="L2" i="6"/>
  <c r="K2" i="6"/>
  <c r="J2" i="6"/>
  <c r="I2" i="6"/>
  <c r="H2" i="6"/>
  <c r="G2" i="6"/>
  <c r="O6" i="5"/>
  <c r="N6" i="5"/>
  <c r="M6" i="5"/>
  <c r="I6" i="5"/>
  <c r="D3" i="17" s="1"/>
  <c r="E6" i="5"/>
  <c r="D6" i="5"/>
  <c r="O5" i="5"/>
  <c r="N5" i="5"/>
  <c r="M5" i="5"/>
  <c r="I5" i="5"/>
  <c r="D6" i="17" s="1"/>
  <c r="E5" i="5"/>
  <c r="D5" i="16" s="1"/>
  <c r="F5" i="16" s="1"/>
  <c r="D5" i="5"/>
  <c r="C5" i="16" s="1"/>
  <c r="Q4" i="5"/>
  <c r="P4" i="5"/>
  <c r="O4" i="5"/>
  <c r="N4" i="5"/>
  <c r="M4" i="5"/>
  <c r="G4" i="5"/>
  <c r="F4" i="5"/>
  <c r="E4" i="5"/>
  <c r="D4" i="16" s="1"/>
  <c r="F4" i="16" s="1"/>
  <c r="D4" i="5"/>
  <c r="C4" i="16" s="1"/>
  <c r="Q3" i="5"/>
  <c r="P3" i="5"/>
  <c r="O3" i="5"/>
  <c r="N3" i="5"/>
  <c r="M3" i="5"/>
  <c r="G3" i="5"/>
  <c r="F3" i="5"/>
  <c r="E3" i="5"/>
  <c r="D3" i="16" s="1"/>
  <c r="D3" i="5"/>
  <c r="C3" i="16" s="1"/>
  <c r="E3" i="16" s="1"/>
  <c r="O2" i="5"/>
  <c r="N2" i="5"/>
  <c r="D3" i="3" s="1"/>
  <c r="E3" i="3" s="1"/>
  <c r="M2" i="5"/>
  <c r="E2" i="5"/>
  <c r="D2" i="5"/>
  <c r="D63" i="3"/>
  <c r="E63" i="3" s="1"/>
  <c r="D60" i="3"/>
  <c r="E60" i="3" s="1"/>
  <c r="D59" i="3"/>
  <c r="E59" i="3" s="1"/>
  <c r="D58" i="3"/>
  <c r="E58" i="3" s="1"/>
  <c r="D53" i="3"/>
  <c r="E53" i="3" s="1"/>
  <c r="E52" i="3"/>
  <c r="D52" i="3"/>
  <c r="D51" i="3"/>
  <c r="E51" i="3" s="1"/>
  <c r="E47" i="3"/>
  <c r="D47" i="3"/>
  <c r="D43" i="3"/>
  <c r="E43" i="3" s="1"/>
  <c r="E42" i="3"/>
  <c r="D42" i="3"/>
  <c r="D41" i="3"/>
  <c r="E41" i="3" s="1"/>
  <c r="E40" i="3"/>
  <c r="D40" i="3"/>
  <c r="E39" i="3"/>
  <c r="D39" i="3"/>
  <c r="D38" i="3"/>
  <c r="E38" i="3" s="1"/>
  <c r="E37" i="3"/>
  <c r="D37" i="3"/>
  <c r="D36" i="3"/>
  <c r="E36" i="3" s="1"/>
  <c r="D35" i="3"/>
  <c r="E35" i="3" s="1"/>
  <c r="E34" i="3"/>
  <c r="D34" i="3"/>
  <c r="D33" i="3"/>
  <c r="E33" i="3" s="1"/>
  <c r="E32" i="3"/>
  <c r="D32" i="3"/>
  <c r="D31" i="3"/>
  <c r="E31" i="3" s="1"/>
  <c r="E30" i="3"/>
  <c r="D30" i="3"/>
  <c r="D26" i="3"/>
  <c r="E26" i="3" s="1"/>
  <c r="D25" i="3"/>
  <c r="E25" i="3" s="1"/>
  <c r="D24" i="3"/>
  <c r="E24" i="3" s="1"/>
  <c r="D20" i="3"/>
  <c r="E20" i="3" s="1"/>
  <c r="D19" i="3"/>
  <c r="E19" i="3" s="1"/>
  <c r="D18" i="3"/>
  <c r="E18" i="3" s="1"/>
  <c r="D15" i="3"/>
  <c r="E15" i="3" s="1"/>
  <c r="D8" i="3"/>
  <c r="E8" i="3" s="1"/>
  <c r="D4" i="3"/>
  <c r="E4" i="3" s="1"/>
  <c r="B3" i="2"/>
  <c r="O14" i="14" s="1"/>
  <c r="P14" i="14" s="1"/>
  <c r="Q14" i="14" s="1"/>
  <c r="R14" i="14" s="1"/>
  <c r="D11" i="3" l="1"/>
  <c r="E11" i="3" s="1"/>
  <c r="C2" i="16"/>
  <c r="E2" i="16" s="1"/>
  <c r="G2" i="5"/>
  <c r="P2" i="5"/>
  <c r="F2" i="5"/>
  <c r="D2" i="16"/>
  <c r="Q2" i="5"/>
  <c r="K7" i="9"/>
  <c r="D23" i="3" s="1"/>
  <c r="E23" i="3" s="1"/>
  <c r="H14" i="8"/>
  <c r="I3" i="5"/>
  <c r="D4" i="17" s="1"/>
  <c r="R2" i="13"/>
  <c r="R4" i="13"/>
  <c r="I4" i="5"/>
  <c r="D5" i="17" s="1"/>
  <c r="D2" i="3"/>
  <c r="E2" i="3" s="1"/>
  <c r="Z2" i="12"/>
  <c r="N2" i="12"/>
  <c r="F8" i="18"/>
  <c r="J3" i="10"/>
  <c r="M3" i="10" s="1"/>
  <c r="Z8" i="12"/>
  <c r="N8" i="12"/>
  <c r="J20" i="10"/>
  <c r="M20" i="10" s="1"/>
  <c r="F4" i="18"/>
  <c r="Z9" i="12"/>
  <c r="F3" i="18"/>
  <c r="J23" i="10"/>
  <c r="M23" i="10" s="1"/>
  <c r="N9" i="12"/>
  <c r="D7" i="3"/>
  <c r="E7" i="3" s="1"/>
  <c r="D21" i="3"/>
  <c r="E21" i="3" s="1"/>
  <c r="C6" i="16"/>
  <c r="G6" i="5"/>
  <c r="P6" i="5"/>
  <c r="F6" i="5"/>
  <c r="D17" i="3"/>
  <c r="E17" i="3" s="1"/>
  <c r="N10" i="12"/>
  <c r="J25" i="10"/>
  <c r="F7" i="18"/>
  <c r="Z10" i="12"/>
  <c r="F5" i="18"/>
  <c r="J5" i="10"/>
  <c r="Z3" i="12"/>
  <c r="N3" i="12"/>
  <c r="F2" i="18"/>
  <c r="Z4" i="12"/>
  <c r="N4" i="12"/>
  <c r="J9" i="10"/>
  <c r="M9" i="10" s="1"/>
  <c r="R6" i="13"/>
  <c r="I2" i="5"/>
  <c r="F3" i="16"/>
  <c r="E4" i="16"/>
  <c r="E5" i="16"/>
  <c r="D27" i="3"/>
  <c r="E27" i="3" s="1"/>
  <c r="Z6" i="12"/>
  <c r="N6" i="12"/>
  <c r="J13" i="10"/>
  <c r="M13" i="10" s="1"/>
  <c r="F9" i="18"/>
  <c r="D6" i="16"/>
  <c r="F6" i="16" s="1"/>
  <c r="Q6" i="5"/>
  <c r="N5" i="12"/>
  <c r="F6" i="18"/>
  <c r="J11" i="10"/>
  <c r="Z5" i="12"/>
  <c r="G9" i="14"/>
  <c r="Z11" i="12"/>
  <c r="F10" i="18"/>
  <c r="J15" i="10"/>
  <c r="N11" i="12"/>
  <c r="R7" i="14"/>
  <c r="G7" i="14" s="1"/>
  <c r="D12" i="3"/>
  <c r="E12" i="3" s="1"/>
  <c r="D16" i="3"/>
  <c r="E16" i="3" s="1"/>
  <c r="M11" i="10"/>
  <c r="R4" i="14"/>
  <c r="F5" i="5"/>
  <c r="P5" i="5"/>
  <c r="S6" i="10"/>
  <c r="D29" i="3" s="1"/>
  <c r="E29" i="3" s="1"/>
  <c r="S26" i="10"/>
  <c r="T6" i="13"/>
  <c r="D50" i="3" s="1"/>
  <c r="E50" i="3" s="1"/>
  <c r="T11" i="13"/>
  <c r="R2" i="14"/>
  <c r="AB2" i="14"/>
  <c r="AA3" i="14"/>
  <c r="Z4" i="14"/>
  <c r="Y5" i="14"/>
  <c r="D54" i="3" s="1"/>
  <c r="E54" i="3" s="1"/>
  <c r="AB12" i="14"/>
  <c r="O15" i="14"/>
  <c r="P15" i="14" s="1"/>
  <c r="Q15" i="14" s="1"/>
  <c r="R15" i="14" s="1"/>
  <c r="G5" i="5"/>
  <c r="Q5" i="5"/>
  <c r="K9" i="9"/>
  <c r="C17" i="9"/>
  <c r="H5" i="8" s="1"/>
  <c r="K19" i="9"/>
  <c r="C27" i="9"/>
  <c r="H8" i="8" s="1"/>
  <c r="K29" i="9"/>
  <c r="C37" i="9"/>
  <c r="H11" i="8" s="1"/>
  <c r="K39" i="9"/>
  <c r="C47" i="9"/>
  <c r="H13" i="8" s="1"/>
  <c r="K49" i="9"/>
  <c r="C57" i="9"/>
  <c r="H16" i="8" s="1"/>
  <c r="K59" i="9"/>
  <c r="M5" i="10"/>
  <c r="M15" i="10"/>
  <c r="M25" i="10"/>
  <c r="A7" i="13"/>
  <c r="AA4" i="14"/>
  <c r="D56" i="3" s="1"/>
  <c r="E56" i="3" s="1"/>
  <c r="Z5" i="14"/>
  <c r="O6" i="14"/>
  <c r="P6" i="14" s="1"/>
  <c r="Q6" i="14" s="1"/>
  <c r="R6" i="14" s="1"/>
  <c r="G6" i="14" s="1"/>
  <c r="O16" i="14"/>
  <c r="P16" i="14" s="1"/>
  <c r="Q16" i="14" s="1"/>
  <c r="M2" i="10"/>
  <c r="R7" i="10"/>
  <c r="M12" i="10"/>
  <c r="M22" i="10"/>
  <c r="G7" i="12"/>
  <c r="O17" i="14"/>
  <c r="P17" i="14" s="1"/>
  <c r="Q17" i="14" s="1"/>
  <c r="R17" i="14" s="1"/>
  <c r="M19" i="10"/>
  <c r="A5" i="13"/>
  <c r="A10" i="13"/>
  <c r="P10" i="13" s="1"/>
  <c r="G2" i="14"/>
  <c r="H3" i="5" s="1"/>
  <c r="Z7" i="14"/>
  <c r="G12" i="14"/>
  <c r="O18" i="14"/>
  <c r="P18" i="14" s="1"/>
  <c r="Q18" i="14" s="1"/>
  <c r="P5" i="15"/>
  <c r="K8" i="9"/>
  <c r="K18" i="9"/>
  <c r="K28" i="9"/>
  <c r="K38" i="9"/>
  <c r="K48" i="9"/>
  <c r="K58" i="9"/>
  <c r="M16" i="10"/>
  <c r="R21" i="10"/>
  <c r="O19" i="14"/>
  <c r="P19" i="14" s="1"/>
  <c r="Q19" i="14" s="1"/>
  <c r="A3" i="13"/>
  <c r="P11" i="13" s="1"/>
  <c r="S5" i="13"/>
  <c r="D49" i="3" s="1"/>
  <c r="E49" i="3" s="1"/>
  <c r="A8" i="13"/>
  <c r="S10" i="13"/>
  <c r="G4" i="14"/>
  <c r="H4" i="5" s="1"/>
  <c r="AB7" i="14"/>
  <c r="O10" i="14"/>
  <c r="P10" i="14" s="1"/>
  <c r="Q10" i="14" s="1"/>
  <c r="R10" i="14" s="1"/>
  <c r="G10" i="14" s="1"/>
  <c r="Y10" i="14"/>
  <c r="AB17" i="14"/>
  <c r="Z19" i="14"/>
  <c r="Z10" i="14"/>
  <c r="O11" i="14"/>
  <c r="P11" i="14" s="1"/>
  <c r="Q11" i="14" s="1"/>
  <c r="R11" i="14" s="1"/>
  <c r="AB18" i="14"/>
  <c r="P2" i="15"/>
  <c r="D62" i="3" s="1"/>
  <c r="E62" i="3" s="1"/>
  <c r="M17" i="10"/>
  <c r="O12" i="14"/>
  <c r="P12" i="14" s="1"/>
  <c r="Q12" i="14" s="1"/>
  <c r="R19" i="14"/>
  <c r="O13" i="14"/>
  <c r="P13" i="14" s="1"/>
  <c r="Q13" i="14" s="1"/>
  <c r="R13" i="14" s="1"/>
  <c r="D28" i="3" l="1"/>
  <c r="E28" i="3" s="1"/>
  <c r="P2" i="13"/>
  <c r="G5" i="18"/>
  <c r="AA3" i="12"/>
  <c r="P3" i="12"/>
  <c r="I5" i="18" s="1"/>
  <c r="O3" i="12"/>
  <c r="H5" i="18" s="1"/>
  <c r="C4" i="17"/>
  <c r="E4" i="17" s="1"/>
  <c r="J3" i="5"/>
  <c r="P9" i="13"/>
  <c r="D6" i="3"/>
  <c r="E6" i="3" s="1"/>
  <c r="G6" i="18"/>
  <c r="AA5" i="12"/>
  <c r="P5" i="12"/>
  <c r="I6" i="18" s="1"/>
  <c r="O5" i="12"/>
  <c r="H6" i="18" s="1"/>
  <c r="E6" i="16"/>
  <c r="P6" i="13"/>
  <c r="F2" i="16"/>
  <c r="P5" i="13"/>
  <c r="H6" i="5"/>
  <c r="G10" i="18"/>
  <c r="P11" i="12"/>
  <c r="I10" i="18" s="1"/>
  <c r="O11" i="12"/>
  <c r="H10" i="18" s="1"/>
  <c r="AA11" i="12"/>
  <c r="AA8" i="12"/>
  <c r="P8" i="12"/>
  <c r="I4" i="18" s="1"/>
  <c r="O8" i="12"/>
  <c r="H4" i="18" s="1"/>
  <c r="G4" i="18"/>
  <c r="C5" i="17"/>
  <c r="E5" i="17" s="1"/>
  <c r="J4" i="5"/>
  <c r="D2" i="17"/>
  <c r="E2" i="17" s="1"/>
  <c r="J2" i="5"/>
  <c r="D5" i="3"/>
  <c r="E5" i="3" s="1"/>
  <c r="P8" i="13"/>
  <c r="Z7" i="12"/>
  <c r="J18" i="10"/>
  <c r="M18" i="10" s="1"/>
  <c r="F11" i="18"/>
  <c r="N7" i="12"/>
  <c r="P7" i="13"/>
  <c r="D55" i="3"/>
  <c r="E55" i="3" s="1"/>
  <c r="P3" i="13"/>
  <c r="H5" i="5"/>
  <c r="P6" i="12"/>
  <c r="I9" i="18" s="1"/>
  <c r="O6" i="12"/>
  <c r="H9" i="18" s="1"/>
  <c r="G9" i="18"/>
  <c r="AA6" i="12"/>
  <c r="G2" i="18"/>
  <c r="AA4" i="12"/>
  <c r="P4" i="12"/>
  <c r="I2" i="18" s="1"/>
  <c r="O4" i="12"/>
  <c r="H2" i="18" s="1"/>
  <c r="G7" i="18"/>
  <c r="AA10" i="12"/>
  <c r="P10" i="12"/>
  <c r="I7" i="18" s="1"/>
  <c r="O10" i="12"/>
  <c r="H7" i="18" s="1"/>
  <c r="AA9" i="12"/>
  <c r="G3" i="18"/>
  <c r="P9" i="12"/>
  <c r="I3" i="18" s="1"/>
  <c r="O9" i="12"/>
  <c r="H3" i="18" s="1"/>
  <c r="AA2" i="12"/>
  <c r="P2" i="12"/>
  <c r="I8" i="18" s="1"/>
  <c r="O2" i="12"/>
  <c r="H8" i="18" s="1"/>
  <c r="G8" i="18"/>
  <c r="D48" i="3"/>
  <c r="E48" i="3" s="1"/>
  <c r="D57" i="3"/>
  <c r="E57" i="3" s="1"/>
  <c r="P4" i="13"/>
  <c r="D44" i="3"/>
  <c r="E44" i="3" s="1"/>
  <c r="L3" i="5" l="1"/>
  <c r="K3" i="5"/>
  <c r="G5" i="17"/>
  <c r="F5" i="17"/>
  <c r="AA7" i="12"/>
  <c r="G11" i="18"/>
  <c r="P7" i="12"/>
  <c r="I11" i="18" s="1"/>
  <c r="O7" i="12"/>
  <c r="H11" i="18" s="1"/>
  <c r="G4" i="17"/>
  <c r="F4" i="17"/>
  <c r="K4" i="5"/>
  <c r="L4" i="5"/>
  <c r="D45" i="3"/>
  <c r="E45" i="3" s="1"/>
  <c r="D65" i="3" s="1"/>
  <c r="L2" i="5"/>
  <c r="K2" i="5"/>
  <c r="D46" i="3"/>
  <c r="E46" i="3" s="1"/>
  <c r="C3" i="17"/>
  <c r="E3" i="17" s="1"/>
  <c r="J6" i="5"/>
  <c r="C6" i="17"/>
  <c r="E6" i="17" s="1"/>
  <c r="J5" i="5"/>
  <c r="G2" i="17"/>
  <c r="F2" i="17"/>
  <c r="K6" i="5" l="1"/>
  <c r="L6" i="5"/>
  <c r="G3" i="17"/>
  <c r="F3" i="17"/>
  <c r="G6" i="17"/>
  <c r="F6" i="17"/>
  <c r="K5" i="5"/>
  <c r="L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1"/>
            <color rgb="FF000000"/>
            <rFont val="Calibri"/>
            <family val="2"/>
            <charset val="1"/>
          </rPr>
          <t>VARCHAR(10) PK. Định dạng BAI_xx.</t>
        </r>
      </text>
    </comment>
    <comment ref="B1" authorId="0" shapeId="0" xr:uid="{00000000-0006-0000-0400-000002000000}">
      <text>
        <r>
          <rPr>
            <sz val="11"/>
            <color rgb="FF000000"/>
            <rFont val="Calibri"/>
            <family val="2"/>
            <charset val="1"/>
          </rPr>
          <t>NVARCHAR(100) UNIQUE.</t>
        </r>
      </text>
    </comment>
    <comment ref="C1" authorId="0" shapeId="0" xr:uid="{00000000-0006-0000-0400-000003000000}">
      <text>
        <r>
          <rPr>
            <sz val="11"/>
            <color rgb="FF000000"/>
            <rFont val="Calibri"/>
            <family val="2"/>
            <charset val="1"/>
          </rPr>
          <t>NVARCHAR(255).</t>
        </r>
      </text>
    </comment>
    <comment ref="D1" authorId="0" shapeId="0" xr:uid="{00000000-0006-0000-0400-000004000000}">
      <text>
        <r>
          <rPr>
            <sz val="11"/>
            <color rgb="FF000000"/>
            <rFont val="Calibri"/>
            <family val="2"/>
            <charset val="1"/>
          </rPr>
          <t>INT. Dẫn xuất: = số ô đỗ vật lý của bãi (blueprint). Thêm/bớt ô ở VI_TRI_DO là sức chứa đổi theo.</t>
        </r>
      </text>
    </comment>
    <comment ref="E1" authorId="0" shapeId="0" xr:uid="{00000000-0006-0000-0400-000005000000}">
      <text>
        <r>
          <rPr>
            <sz val="11"/>
            <color rgb="FF000000"/>
            <rFont val="Calibri"/>
            <family val="2"/>
            <charset val="1"/>
          </rPr>
          <t>INT. Dẫn xuất: = số lượt chưa check-out tại bãi (trg_DongBoTrangThaiSlot duy trì giá trị này).</t>
        </r>
      </text>
    </comment>
    <comment ref="F1" authorId="0" shapeId="0" xr:uid="{00000000-0006-0000-0400-000006000000}">
      <text>
        <r>
          <rPr>
            <sz val="11"/>
            <color rgb="FF000000"/>
            <rFont val="Calibri"/>
            <family val="2"/>
            <charset val="1"/>
          </rPr>
          <t>vw_Report_CongSuatBaiDo.</t>
        </r>
      </text>
    </comment>
    <comment ref="G1" authorId="0" shapeId="0" xr:uid="{00000000-0006-0000-0400-000007000000}">
      <text>
        <r>
          <rPr>
            <sz val="11"/>
            <color rgb="FF000000"/>
            <rFont val="Calibri"/>
            <family val="2"/>
            <charset val="1"/>
          </rPr>
          <t>vw_Report_CongSuatBaiDo.</t>
        </r>
      </text>
    </comment>
    <comment ref="H1" authorId="0" shapeId="0" xr:uid="{00000000-0006-0000-0400-000008000000}">
      <text>
        <r>
          <rPr>
            <sz val="11"/>
            <color rgb="FF000000"/>
            <rFont val="Calibri"/>
            <family val="2"/>
            <charset val="1"/>
          </rPr>
          <t>vw_Report_DoanhThuTheoBai.</t>
        </r>
      </text>
    </comment>
    <comment ref="I1" authorId="0" shapeId="0" xr:uid="{00000000-0006-0000-0400-000009000000}">
      <text>
        <r>
          <rPr>
            <sz val="11"/>
            <color rgb="FF000000"/>
            <rFont val="Calibri"/>
            <family val="2"/>
            <charset val="1"/>
          </rPr>
          <t>vw_Report_DoanhThuTheoBai.</t>
        </r>
      </text>
    </comment>
    <comment ref="K1" authorId="0" shapeId="0" xr:uid="{00000000-0006-0000-0400-00000A000000}">
      <text>
        <r>
          <rPr>
            <sz val="11"/>
            <color rgb="FF000000"/>
            <rFont val="Calibri"/>
            <family val="2"/>
            <charset val="1"/>
          </rPr>
          <t>sp_DemoTongKetDoanhThuChuoi.</t>
        </r>
      </text>
    </comment>
    <comment ref="M1" authorId="0" shapeId="0" xr:uid="{00000000-0006-0000-0400-00000B000000}">
      <text>
        <r>
          <rPr>
            <sz val="11"/>
            <color rgb="FF000000"/>
            <rFont val="Calibri"/>
            <family val="2"/>
            <charset val="1"/>
          </rPr>
          <t>PK_BAI_DO_XE.</t>
        </r>
      </text>
    </comment>
    <comment ref="N1" authorId="0" shapeId="0" xr:uid="{00000000-0006-0000-0400-00000C000000}">
      <text>
        <r>
          <rPr>
            <sz val="11"/>
            <color rgb="FF000000"/>
            <rFont val="Calibri"/>
            <family val="2"/>
            <charset val="1"/>
          </rPr>
          <t>UQ_TenBai.</t>
        </r>
      </text>
    </comment>
    <comment ref="O1" authorId="0" shapeId="0" xr:uid="{00000000-0006-0000-0400-00000D000000}">
      <text>
        <r>
          <rPr>
            <sz val="11"/>
            <color rgb="FF000000"/>
            <rFont val="Calibri"/>
            <family val="2"/>
            <charset val="1"/>
          </rPr>
          <t>Mã bãi dạng BAI_xx.</t>
        </r>
      </text>
    </comment>
    <comment ref="P1" authorId="0" shapeId="0" xr:uid="{00000000-0006-0000-0400-00000E000000}">
      <text>
        <r>
          <rPr>
            <sz val="11"/>
            <color rgb="FF000000"/>
            <rFont val="Calibri"/>
            <family val="2"/>
            <charset val="1"/>
          </rPr>
          <t>CK_SucChua: SucChua &gt; 0 (bãi phải có ô đỗ).</t>
        </r>
      </text>
    </comment>
    <comment ref="Q1" authorId="0" shapeId="0" xr:uid="{00000000-0006-0000-0400-00000F000000}">
      <text>
        <r>
          <rPr>
            <sz val="11"/>
            <color rgb="FF000000"/>
            <rFont val="Calibri"/>
            <family val="2"/>
            <charset val="1"/>
          </rPr>
          <t>CK_SoLuongHienTai.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500-000001000000}">
      <text>
        <r>
          <rPr>
            <sz val="11"/>
            <color rgb="FF000000"/>
            <rFont val="Calibri"/>
            <family val="2"/>
            <charset val="1"/>
          </rPr>
          <t>VARCHAR(10) PK. Định dạng NV###.</t>
        </r>
      </text>
    </comment>
    <comment ref="B1" authorId="0" shapeId="0" xr:uid="{00000000-0006-0000-0500-000002000000}">
      <text>
        <r>
          <rPr>
            <sz val="11"/>
            <color rgb="FF000000"/>
            <rFont val="Calibri"/>
            <family val="2"/>
            <charset val="1"/>
          </rPr>
          <t>NVARCHAR(100).</t>
        </r>
      </text>
    </comment>
    <comment ref="C1" authorId="0" shapeId="0" xr:uid="{00000000-0006-0000-0500-000003000000}">
      <text>
        <r>
          <rPr>
            <sz val="11"/>
            <color rgb="FF000000"/>
            <rFont val="Calibri"/>
            <family val="2"/>
            <charset val="1"/>
          </rPr>
          <t>CK_NhanVien_ChucVu.</t>
        </r>
      </text>
    </comment>
    <comment ref="D1" authorId="0" shapeId="0" xr:uid="{00000000-0006-0000-0500-000004000000}">
      <text>
        <r>
          <rPr>
            <sz val="11"/>
            <color rgb="FF000000"/>
            <rFont val="Calibri"/>
            <family val="2"/>
            <charset val="1"/>
          </rPr>
          <t>VARCHAR(15) UNIQUE.</t>
        </r>
      </text>
    </comment>
    <comment ref="E1" authorId="0" shapeId="0" xr:uid="{00000000-0006-0000-0500-000005000000}">
      <text>
        <r>
          <rPr>
            <sz val="11"/>
            <color rgb="FF000000"/>
            <rFont val="Calibri"/>
            <family val="2"/>
            <charset val="1"/>
          </rPr>
          <t>VARCHAR(100) UNIQUE.</t>
        </r>
      </text>
    </comment>
    <comment ref="F1" authorId="0" shapeId="0" xr:uid="{00000000-0006-0000-0500-000006000000}">
      <text>
        <r>
          <rPr>
            <sz val="11"/>
            <color rgb="FF000000"/>
            <rFont val="Calibri"/>
            <family val="2"/>
            <charset val="1"/>
          </rPr>
          <t>FK BAI_DO_XE, NULL = toàn chuỗi.</t>
        </r>
      </text>
    </comment>
    <comment ref="G1" authorId="0" shapeId="0" xr:uid="{00000000-0006-0000-0500-000007000000}">
      <text>
        <r>
          <rPr>
            <sz val="11"/>
            <color rgb="FF000000"/>
            <rFont val="Calibri"/>
            <family val="2"/>
            <charset val="1"/>
          </rPr>
          <t>sp_DangNhap.</t>
        </r>
      </text>
    </comment>
    <comment ref="I1" authorId="0" shapeId="0" xr:uid="{00000000-0006-0000-0500-000008000000}">
      <text>
        <r>
          <rPr>
            <sz val="11"/>
            <color rgb="FF000000"/>
            <rFont val="Calibri"/>
            <family val="2"/>
            <charset val="1"/>
          </rPr>
          <t>PK_NHAN_VIEN.</t>
        </r>
      </text>
    </comment>
    <comment ref="J1" authorId="0" shapeId="0" xr:uid="{00000000-0006-0000-0500-000009000000}">
      <text>
        <r>
          <rPr>
            <sz val="11"/>
            <color rgb="FF000000"/>
            <rFont val="Calibri"/>
            <family val="2"/>
            <charset val="1"/>
          </rPr>
          <t>Mã NV###.</t>
        </r>
      </text>
    </comment>
    <comment ref="K1" authorId="0" shapeId="0" xr:uid="{00000000-0006-0000-0500-00000A000000}">
      <text>
        <r>
          <rPr>
            <sz val="11"/>
            <color rgb="FF000000"/>
            <rFont val="Calibri"/>
            <family val="2"/>
            <charset val="1"/>
          </rPr>
          <t>UQ_NhanVien_SDT.</t>
        </r>
      </text>
    </comment>
    <comment ref="L1" authorId="0" shapeId="0" xr:uid="{00000000-0006-0000-0500-00000B000000}">
      <text>
        <r>
          <rPr>
            <sz val="11"/>
            <color rgb="FF000000"/>
            <rFont val="Calibri"/>
            <family val="2"/>
            <charset val="1"/>
          </rPr>
          <t>UQ_NhanVien_Email.</t>
        </r>
      </text>
    </comment>
    <comment ref="M1" authorId="0" shapeId="0" xr:uid="{00000000-0006-0000-0500-00000C000000}">
      <text>
        <r>
          <rPr>
            <sz val="11"/>
            <color rgb="FF000000"/>
            <rFont val="Calibri"/>
            <family val="2"/>
            <charset val="1"/>
          </rPr>
          <t>FK_NhanVien_BaiDoXe.</t>
        </r>
      </text>
    </comment>
    <comment ref="N1" authorId="0" shapeId="0" xr:uid="{00000000-0006-0000-0500-00000D000000}">
      <text>
        <r>
          <rPr>
            <sz val="11"/>
            <color rgb="FF000000"/>
            <rFont val="Calibri"/>
            <family val="2"/>
            <charset val="1"/>
          </rPr>
          <t>Giám đốc phụ trách toàn chuỗi (MaBai trống); Quản lý bãi / Bảo vệ phải gắn một bãi.</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600-000001000000}">
      <text>
        <r>
          <rPr>
            <sz val="11"/>
            <color rgb="FF000000"/>
            <rFont val="Calibri"/>
            <family val="2"/>
            <charset val="1"/>
          </rPr>
          <t>VARCHAR(50) PK.</t>
        </r>
      </text>
    </comment>
    <comment ref="B1" authorId="0" shapeId="0" xr:uid="{00000000-0006-0000-0600-000002000000}">
      <text>
        <r>
          <rPr>
            <sz val="11"/>
            <color rgb="FF000000"/>
            <rFont val="Calibri"/>
            <family val="2"/>
            <charset val="1"/>
          </rPr>
          <t>VARCHAR(255). Tham khảo: SHA-256 hex do HASHBYTES sinh khi nạp seed từ cột MatKhauMau (Excel không tính được hash).</t>
        </r>
      </text>
    </comment>
    <comment ref="C1" authorId="0" shapeId="0" xr:uid="{00000000-0006-0000-0600-000003000000}">
      <text>
        <r>
          <rPr>
            <sz val="11"/>
            <color rgb="FF000000"/>
            <rFont val="Calibri"/>
            <family val="2"/>
            <charset val="1"/>
          </rPr>
          <t>FK NHAN_VIEN.</t>
        </r>
      </text>
    </comment>
    <comment ref="D1" authorId="0" shapeId="0" xr:uid="{00000000-0006-0000-0600-000004000000}">
      <text>
        <r>
          <rPr>
            <sz val="11"/>
            <color rgb="FF000000"/>
            <rFont val="Calibri"/>
            <family val="2"/>
            <charset val="1"/>
          </rPr>
          <t>CK_TaiKhoan_TrangThai.</t>
        </r>
      </text>
    </comment>
    <comment ref="E1" authorId="0" shapeId="0" xr:uid="{00000000-0006-0000-0600-000005000000}">
      <text>
        <r>
          <rPr>
            <sz val="11"/>
            <color rgb="FF000000"/>
            <rFont val="Calibri"/>
            <family val="2"/>
            <charset val="1"/>
          </rPr>
          <t>Mật khẩu mẫu (chỉ dùng cho dữ liệu demo). Khi sinh seed: MatKhauHash = CONVERT(VARCHAR(64), HASHBYTES('SHA2_256', MatKhauMau), 2).</t>
        </r>
      </text>
    </comment>
    <comment ref="G1" authorId="0" shapeId="0" xr:uid="{00000000-0006-0000-0600-000006000000}">
      <text>
        <r>
          <rPr>
            <sz val="11"/>
            <color rgb="FF000000"/>
            <rFont val="Calibri"/>
            <family val="2"/>
            <charset val="1"/>
          </rPr>
          <t>Quyết định role RBAC.</t>
        </r>
      </text>
    </comment>
    <comment ref="H1" authorId="0" shapeId="0" xr:uid="{00000000-0006-0000-0600-000007000000}">
      <text>
        <r>
          <rPr>
            <sz val="11"/>
            <color rgb="FF000000"/>
            <rFont val="Calibri"/>
            <family val="2"/>
            <charset val="1"/>
          </rPr>
          <t>sp_DangNhap.</t>
        </r>
      </text>
    </comment>
    <comment ref="I1" authorId="0" shapeId="0" xr:uid="{00000000-0006-0000-0600-000008000000}">
      <text>
        <r>
          <rPr>
            <sz val="11"/>
            <color rgb="FF000000"/>
            <rFont val="Calibri"/>
            <family val="2"/>
            <charset val="1"/>
          </rPr>
          <t>PK_TAI_KHOAN.</t>
        </r>
      </text>
    </comment>
    <comment ref="J1" authorId="0" shapeId="0" xr:uid="{00000000-0006-0000-0600-000009000000}">
      <text>
        <r>
          <rPr>
            <sz val="11"/>
            <color rgb="FF000000"/>
            <rFont val="Calibri"/>
            <family val="2"/>
            <charset val="1"/>
          </rPr>
          <t>FK_TaiKhoan_NhanVien.</t>
        </r>
      </text>
    </comment>
    <comment ref="K1" authorId="0" shapeId="0" xr:uid="{00000000-0006-0000-0600-00000A000000}">
      <text>
        <r>
          <rPr>
            <sz val="11"/>
            <color rgb="FF000000"/>
            <rFont val="Calibri"/>
            <family val="2"/>
            <charset val="1"/>
          </rPr>
          <t>SHA-256 hex 64 ký tự.</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700-000001000000}">
      <text>
        <r>
          <rPr>
            <sz val="11"/>
            <color rgb="FF000000"/>
            <rFont val="Calibri"/>
            <family val="2"/>
            <charset val="1"/>
          </rPr>
          <t>VARCHAR(10), PK ghép (MaLoaiXe, MaBai).</t>
        </r>
      </text>
    </comment>
    <comment ref="B1" authorId="0" shapeId="0" xr:uid="{00000000-0006-0000-0700-000002000000}">
      <text>
        <r>
          <rPr>
            <sz val="11"/>
            <color rgb="FF000000"/>
            <rFont val="Calibri"/>
            <family val="2"/>
            <charset val="1"/>
          </rPr>
          <t>FK BAI_DO_XE.</t>
        </r>
      </text>
    </comment>
    <comment ref="C1" authorId="0" shapeId="0" xr:uid="{00000000-0006-0000-0700-000003000000}">
      <text>
        <r>
          <rPr>
            <sz val="11"/>
            <color rgb="FF000000"/>
            <rFont val="Calibri"/>
            <family val="2"/>
            <charset val="1"/>
          </rPr>
          <t>NVARCHAR(50).</t>
        </r>
      </text>
    </comment>
    <comment ref="D1" authorId="0" shapeId="0" xr:uid="{00000000-0006-0000-0700-000004000000}">
      <text>
        <r>
          <rPr>
            <sz val="11"/>
            <color rgb="FF000000"/>
            <rFont val="Calibri"/>
            <family val="2"/>
            <charset val="1"/>
          </rPr>
          <t>DECIMAL &gt; 0 (CK_DonGiaGio).</t>
        </r>
      </text>
    </comment>
    <comment ref="E1" authorId="0" shapeId="0" xr:uid="{00000000-0006-0000-0700-000005000000}">
      <text>
        <r>
          <rPr>
            <sz val="11"/>
            <color rgb="FF000000"/>
            <rFont val="Calibri"/>
            <family val="2"/>
            <charset val="1"/>
          </rPr>
          <t>DECIMAL &gt; 0 (CK_GiaVeThang).</t>
        </r>
      </text>
    </comment>
    <comment ref="H1" authorId="0" shapeId="0" xr:uid="{00000000-0006-0000-0700-000006000000}">
      <text>
        <r>
          <rPr>
            <sz val="11"/>
            <color rgb="FF000000"/>
            <rFont val="Calibri"/>
            <family val="2"/>
            <charset val="1"/>
          </rPr>
          <t>f_TimSlotTrong: còn ô Trống đúng loại xe thì mới check-in được (lỗi 50010).</t>
        </r>
      </text>
    </comment>
    <comment ref="I1" authorId="0" shapeId="0" xr:uid="{00000000-0006-0000-0700-000007000000}">
      <text>
        <r>
          <rPr>
            <sz val="11"/>
            <color rgb="FF000000"/>
            <rFont val="Calibri"/>
            <family val="2"/>
            <charset val="1"/>
          </rPr>
          <t>PK_LOAI_XE (MaLoaiXe, MaBai).</t>
        </r>
      </text>
    </comment>
    <comment ref="J1" authorId="0" shapeId="0" xr:uid="{00000000-0006-0000-0700-000008000000}">
      <text>
        <r>
          <rPr>
            <sz val="11"/>
            <color rgb="FF000000"/>
            <rFont val="Calibri"/>
            <family val="2"/>
            <charset val="1"/>
          </rPr>
          <t>FK_LoaiXe_BaiDoXe.</t>
        </r>
      </text>
    </comment>
    <comment ref="K1" authorId="0" shapeId="0" xr:uid="{00000000-0006-0000-0700-000009000000}">
      <text>
        <r>
          <rPr>
            <sz val="11"/>
            <color rgb="FF000000"/>
            <rFont val="Calibri"/>
            <family val="2"/>
            <charset val="1"/>
          </rPr>
          <t>CK_DonGiaGio, CK_GiaVeThang.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800-000001000000}">
      <text>
        <r>
          <rPr>
            <sz val="11"/>
            <color rgb="FF000000"/>
            <rFont val="Calibri"/>
            <family val="2"/>
            <charset val="1"/>
          </rPr>
          <t>VARCHAR(20) PK. Định dạng &lt;bãi&gt;_&lt;loại xe&gt;_&lt;số&gt;, ví dụ Q1_XM_01.</t>
        </r>
      </text>
    </comment>
    <comment ref="B1" authorId="0" shapeId="0" xr:uid="{00000000-0006-0000-0800-000002000000}">
      <text>
        <r>
          <rPr>
            <sz val="11"/>
            <color rgb="FF000000"/>
            <rFont val="Calibri"/>
            <family val="2"/>
            <charset val="1"/>
          </rPr>
          <t>NVARCHAR(20).</t>
        </r>
      </text>
    </comment>
    <comment ref="C1" authorId="0" shapeId="0" xr:uid="{00000000-0006-0000-0800-000003000000}">
      <text>
        <r>
          <rPr>
            <sz val="11"/>
            <color rgb="FF000000"/>
            <rFont val="Calibri"/>
            <family val="2"/>
            <charset val="1"/>
          </rPr>
          <t>Dẫn xuất: có lượt chưa check-out tại ô → 'Đã đỗ', ngược lại 'Trống' (trg_DongBoTrangThaiSlot).</t>
        </r>
      </text>
    </comment>
    <comment ref="D1" authorId="0" shapeId="0" xr:uid="{00000000-0006-0000-0800-000004000000}">
      <text>
        <r>
          <rPr>
            <sz val="11"/>
            <color rgb="FF000000"/>
            <rFont val="Calibri"/>
            <family val="2"/>
            <charset val="1"/>
          </rPr>
          <t>FK ghép (MaLoaiXe, MaBai) → LOAI_XE.</t>
        </r>
      </text>
    </comment>
    <comment ref="E1" authorId="0" shapeId="0" xr:uid="{00000000-0006-0000-0800-000005000000}">
      <text>
        <r>
          <rPr>
            <sz val="11"/>
            <color rgb="FF000000"/>
            <rFont val="Calibri"/>
            <family val="2"/>
            <charset val="1"/>
          </rPr>
          <t>FK BAI_DO_XE.</t>
        </r>
      </text>
    </comment>
    <comment ref="G1" authorId="0" shapeId="0" xr:uid="{00000000-0006-0000-0800-000006000000}">
      <text>
        <r>
          <rPr>
            <sz val="11"/>
            <color rgb="FF000000"/>
            <rFont val="Calibri"/>
            <family val="2"/>
            <charset val="1"/>
          </rPr>
          <t>PK_VI_TRI_DO.</t>
        </r>
      </text>
    </comment>
    <comment ref="H1" authorId="0" shapeId="0" xr:uid="{00000000-0006-0000-0800-000007000000}">
      <text>
        <r>
          <rPr>
            <sz val="11"/>
            <color rgb="FF000000"/>
            <rFont val="Calibri"/>
            <family val="2"/>
            <charset val="1"/>
          </rPr>
          <t>Mã ô = &lt;mã bãi bỏ 'BAI_'&gt;_&lt;MaLoaiXe&gt;_&lt;số&gt;.</t>
        </r>
      </text>
    </comment>
    <comment ref="I1" authorId="0" shapeId="0" xr:uid="{00000000-0006-0000-0800-000008000000}">
      <text>
        <r>
          <rPr>
            <sz val="11"/>
            <color rgb="FF000000"/>
            <rFont val="Calibri"/>
            <family val="2"/>
            <charset val="1"/>
          </rPr>
          <t>FK_ViTriDo_LoaiXe.</t>
        </r>
      </text>
    </comment>
    <comment ref="J1" authorId="0" shapeId="0" xr:uid="{00000000-0006-0000-0800-000009000000}">
      <text>
        <r>
          <rPr>
            <sz val="11"/>
            <color rgb="FF000000"/>
            <rFont val="Calibri"/>
            <family val="2"/>
            <charset val="1"/>
          </rPr>
          <t>KhuVuc NVARCHAR(20).</t>
        </r>
      </text>
    </comment>
    <comment ref="K1" authorId="0" shapeId="0" xr:uid="{00000000-0006-0000-0800-00000A000000}">
      <text>
        <r>
          <rPr>
            <sz val="11"/>
            <color rgb="FF000000"/>
            <rFont val="Calibri"/>
            <family val="2"/>
            <charset val="1"/>
          </rPr>
          <t>Một ô chỉ chứa tối đa 1 xe đang đỗ.</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900-000001000000}">
      <text>
        <r>
          <rPr>
            <sz val="11"/>
            <color rgb="FF000000"/>
            <rFont val="Calibri"/>
            <family val="2"/>
            <charset val="1"/>
          </rPr>
          <t>VARCHAR(10) PK. Định dạng THE####.</t>
        </r>
      </text>
    </comment>
    <comment ref="B1" authorId="0" shapeId="0" xr:uid="{00000000-0006-0000-0900-000002000000}">
      <text>
        <r>
          <rPr>
            <sz val="11"/>
            <color rgb="FF000000"/>
            <rFont val="Calibri"/>
            <family val="2"/>
            <charset val="1"/>
          </rPr>
          <t>FK BAI_DO_XE: bãi phát hành thẻ.</t>
        </r>
      </text>
    </comment>
    <comment ref="C1" authorId="0" shapeId="0" xr:uid="{00000000-0006-0000-0900-000003000000}">
      <text>
        <r>
          <rPr>
            <sz val="11"/>
            <color rgb="FF000000"/>
            <rFont val="Calibri"/>
            <family val="2"/>
            <charset val="1"/>
          </rPr>
          <t>CK_LoaiThe: Lượt / Tháng.</t>
        </r>
      </text>
    </comment>
    <comment ref="D1" authorId="0" shapeId="0" xr:uid="{00000000-0006-0000-0900-000004000000}">
      <text>
        <r>
          <rPr>
            <sz val="11"/>
            <color rgb="FF000000"/>
            <rFont val="Calibri"/>
            <family val="2"/>
            <charset val="1"/>
          </rPr>
          <t>CK_TrangThaiThe.</t>
        </r>
      </text>
    </comment>
    <comment ref="E1" authorId="0" shapeId="0" xr:uid="{00000000-0006-0000-0900-000005000000}">
      <text>
        <r>
          <rPr>
            <sz val="11"/>
            <color rgb="FF000000"/>
            <rFont val="Calibri"/>
            <family val="2"/>
            <charset val="1"/>
          </rPr>
          <t>DATE. Dẫn xuất từ NgayCapCoDinh, hoặc ThoiDiemNap − NgayCapTruocNapNgay (seed sinh CAST(DATEADD(DAY, -n, GETDATE()) AS DATE)).</t>
        </r>
      </text>
    </comment>
    <comment ref="F1" authorId="0" shapeId="0" xr:uid="{00000000-0006-0000-0900-000006000000}">
      <text>
        <r>
          <rPr>
            <sz val="11"/>
            <color rgb="FF000000"/>
            <rFont val="Calibri"/>
            <family val="2"/>
            <charset val="1"/>
          </rPr>
          <t>Ngày cấp cố định.</t>
        </r>
      </text>
    </comment>
    <comment ref="G1" authorId="0" shapeId="0" xr:uid="{00000000-0006-0000-0900-000007000000}">
      <text>
        <r>
          <rPr>
            <sz val="11"/>
            <color rgb="FF000000"/>
            <rFont val="Calibri"/>
            <family val="2"/>
            <charset val="1"/>
          </rPr>
          <t>Số ngày trước thời điểm nạp seed (để trống nếu dùng ngày cố định).</t>
        </r>
      </text>
    </comment>
    <comment ref="I1" authorId="0" shapeId="0" xr:uid="{00000000-0006-0000-0900-000008000000}">
      <text>
        <r>
          <rPr>
            <sz val="11"/>
            <color rgb="FF000000"/>
            <rFont val="Calibri"/>
            <family val="2"/>
            <charset val="1"/>
          </rPr>
          <t>UQ_VeThang_MaThe.</t>
        </r>
      </text>
    </comment>
    <comment ref="M1" authorId="0" shapeId="0" xr:uid="{00000000-0006-0000-0900-000009000000}">
      <text>
        <r>
          <rPr>
            <sz val="11"/>
            <color rgb="FF000000"/>
            <rFont val="Calibri"/>
            <family val="2"/>
            <charset val="1"/>
          </rPr>
          <t>trg_KiemTraCheckIn (50002), trg_ChanSuDungVeHetHan (50003), trg_KiemTraBaiApDungVeThang (50004). Thẻ lượt dùng tại bãi phát hành.</t>
        </r>
      </text>
    </comment>
    <comment ref="N1" authorId="0" shapeId="0" xr:uid="{00000000-0006-0000-0900-00000A000000}">
      <text>
        <r>
          <rPr>
            <sz val="11"/>
            <color rgb="FF000000"/>
            <rFont val="Calibri"/>
            <family val="2"/>
            <charset val="1"/>
          </rPr>
          <t>PK_THE_XE.</t>
        </r>
      </text>
    </comment>
    <comment ref="O1" authorId="0" shapeId="0" xr:uid="{00000000-0006-0000-0900-00000B000000}">
      <text>
        <r>
          <rPr>
            <sz val="11"/>
            <color rgb="FF000000"/>
            <rFont val="Calibri"/>
            <family val="2"/>
            <charset val="1"/>
          </rPr>
          <t>Mã THE####.</t>
        </r>
      </text>
    </comment>
    <comment ref="P1" authorId="0" shapeId="0" xr:uid="{00000000-0006-0000-0900-00000C000000}">
      <text>
        <r>
          <rPr>
            <sz val="11"/>
            <color rgb="FF000000"/>
            <rFont val="Calibri"/>
            <family val="2"/>
            <charset val="1"/>
          </rPr>
          <t>FK_TheXe_BaiDoXe.</t>
        </r>
      </text>
    </comment>
    <comment ref="Q1" authorId="0" shapeId="0" xr:uid="{00000000-0006-0000-0900-00000D000000}">
      <text>
        <r>
          <rPr>
            <sz val="11"/>
            <color rgb="FF000000"/>
            <rFont val="Calibri"/>
            <family val="2"/>
            <charset val="1"/>
          </rPr>
          <t>Thẻ loại Tháng phải gắn một vé tháng.</t>
        </r>
      </text>
    </comment>
    <comment ref="R1" authorId="0" shapeId="0" xr:uid="{00000000-0006-0000-0900-00000E000000}">
      <text>
        <r>
          <rPr>
            <sz val="11"/>
            <color rgb="FF000000"/>
            <rFont val="Calibri"/>
            <family val="2"/>
            <charset val="1"/>
          </rPr>
          <t>Mỗi thẻ tối đa 1 lượt đang mở.</t>
        </r>
      </text>
    </comment>
    <comment ref="S1" authorId="0" shapeId="0" xr:uid="{00000000-0006-0000-0900-00000F000000}">
      <text>
        <r>
          <rPr>
            <sz val="11"/>
            <color rgb="FF000000"/>
            <rFont val="Calibri"/>
            <family val="2"/>
            <charset val="1"/>
          </rPr>
          <t>Thẻ khóa/mất không có lượt đang mở.</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A00-000001000000}">
      <text>
        <r>
          <rPr>
            <sz val="11"/>
            <color rgb="FF000000"/>
            <rFont val="Calibri"/>
            <family val="2"/>
            <charset val="1"/>
          </rPr>
          <t>VARCHAR(10) PK. Định dạng KH####.</t>
        </r>
      </text>
    </comment>
    <comment ref="B1" authorId="0" shapeId="0" xr:uid="{00000000-0006-0000-0A00-000002000000}">
      <text>
        <r>
          <rPr>
            <sz val="11"/>
            <color rgb="FF000000"/>
            <rFont val="Calibri"/>
            <family val="2"/>
            <charset val="1"/>
          </rPr>
          <t>NVARCHAR(100).</t>
        </r>
      </text>
    </comment>
    <comment ref="C1" authorId="0" shapeId="0" xr:uid="{00000000-0006-0000-0A00-000003000000}">
      <text>
        <r>
          <rPr>
            <sz val="11"/>
            <color rgb="FF000000"/>
            <rFont val="Calibri"/>
            <family val="2"/>
            <charset val="1"/>
          </rPr>
          <t>VARCHAR(15) UNIQUE.</t>
        </r>
      </text>
    </comment>
    <comment ref="D1" authorId="0" shapeId="0" xr:uid="{00000000-0006-0000-0A00-000004000000}">
      <text>
        <r>
          <rPr>
            <sz val="11"/>
            <color rgb="FF000000"/>
            <rFont val="Calibri"/>
            <family val="2"/>
            <charset val="1"/>
          </rPr>
          <t>VARCHAR(100) UNIQUE (để trống được).</t>
        </r>
      </text>
    </comment>
    <comment ref="E1" authorId="0" shapeId="0" xr:uid="{00000000-0006-0000-0A00-000005000000}">
      <text>
        <r>
          <rPr>
            <sz val="11"/>
            <color rgb="FF000000"/>
            <rFont val="Calibri"/>
            <family val="2"/>
            <charset val="1"/>
          </rPr>
          <t>VARCHAR(12) UNIQUE, 12 chữ số.</t>
        </r>
      </text>
    </comment>
    <comment ref="G1" authorId="0" shapeId="0" xr:uid="{00000000-0006-0000-0A00-000006000000}">
      <text>
        <r>
          <rPr>
            <sz val="11"/>
            <color rgb="FF000000"/>
            <rFont val="Calibri"/>
            <family val="2"/>
            <charset val="1"/>
          </rPr>
          <t>PK_KHACH_HANG.</t>
        </r>
      </text>
    </comment>
    <comment ref="H1" authorId="0" shapeId="0" xr:uid="{00000000-0006-0000-0A00-000007000000}">
      <text>
        <r>
          <rPr>
            <sz val="11"/>
            <color rgb="FF000000"/>
            <rFont val="Calibri"/>
            <family val="2"/>
            <charset val="1"/>
          </rPr>
          <t>Mã KH####.</t>
        </r>
      </text>
    </comment>
    <comment ref="I1" authorId="0" shapeId="0" xr:uid="{00000000-0006-0000-0A00-000008000000}">
      <text>
        <r>
          <rPr>
            <sz val="11"/>
            <color rgb="FF000000"/>
            <rFont val="Calibri"/>
            <family val="2"/>
            <charset val="1"/>
          </rPr>
          <t>UQ_KhachHang_SDT.</t>
        </r>
      </text>
    </comment>
    <comment ref="J1" authorId="0" shapeId="0" xr:uid="{00000000-0006-0000-0A00-000009000000}">
      <text>
        <r>
          <rPr>
            <sz val="11"/>
            <color rgb="FF000000"/>
            <rFont val="Calibri"/>
            <family val="2"/>
            <charset val="1"/>
          </rPr>
          <t>UQ_KhachHang_Email.</t>
        </r>
      </text>
    </comment>
    <comment ref="K1" authorId="0" shapeId="0" xr:uid="{00000000-0006-0000-0A00-00000A000000}">
      <text>
        <r>
          <rPr>
            <sz val="11"/>
            <color rgb="FF000000"/>
            <rFont val="Calibri"/>
            <family val="2"/>
            <charset val="1"/>
          </rPr>
          <t>UQ_KhachHang_CMND.</t>
        </r>
      </text>
    </comment>
    <comment ref="L1" authorId="0" shapeId="0" xr:uid="{00000000-0006-0000-0A00-00000B000000}">
      <text>
        <r>
          <rPr>
            <sz val="11"/>
            <color rgb="FF000000"/>
            <rFont val="Calibri"/>
            <family val="2"/>
            <charset val="1"/>
          </rPr>
          <t>CCCD 12 chữ số.</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B00-000001000000}">
      <text>
        <r>
          <rPr>
            <sz val="11"/>
            <color rgb="FF000000"/>
            <rFont val="Calibri"/>
            <family val="2"/>
            <charset val="1"/>
          </rPr>
          <t>VARCHAR(10) PK. Định dạng V####.</t>
        </r>
      </text>
    </comment>
    <comment ref="B1" authorId="0" shapeId="0" xr:uid="{00000000-0006-0000-0B00-000002000000}">
      <text>
        <r>
          <rPr>
            <sz val="11"/>
            <color rgb="FF000000"/>
            <rFont val="Calibri"/>
            <family val="2"/>
            <charset val="1"/>
          </rPr>
          <t>FK THE_XE, UNIQUE.</t>
        </r>
      </text>
    </comment>
    <comment ref="C1" authorId="0" shapeId="0" xr:uid="{00000000-0006-0000-0B00-000003000000}">
      <text>
        <r>
          <rPr>
            <sz val="11"/>
            <color rgb="FF000000"/>
            <rFont val="Calibri"/>
            <family val="2"/>
            <charset val="1"/>
          </rPr>
          <t>FK KHACH_HANG.</t>
        </r>
      </text>
    </comment>
    <comment ref="D1" authorId="0" shapeId="0" xr:uid="{00000000-0006-0000-0B00-000004000000}">
      <text>
        <r>
          <rPr>
            <sz val="11"/>
            <color rgb="FF000000"/>
            <rFont val="Calibri"/>
            <family val="2"/>
            <charset val="1"/>
          </rPr>
          <t>VARCHAR(15).</t>
        </r>
      </text>
    </comment>
    <comment ref="E1" authorId="0" shapeId="0" xr:uid="{00000000-0006-0000-0B00-000005000000}">
      <text>
        <r>
          <rPr>
            <sz val="11"/>
            <color rgb="FF000000"/>
            <rFont val="Calibri"/>
            <family val="2"/>
            <charset val="1"/>
          </rPr>
          <t>Loại xe đăng ký.</t>
        </r>
      </text>
    </comment>
    <comment ref="F1" authorId="0" shapeId="0" xr:uid="{00000000-0006-0000-0B00-000006000000}">
      <text>
        <r>
          <rPr>
            <sz val="11"/>
            <color rgb="FF000000"/>
            <rFont val="Calibri"/>
            <family val="2"/>
            <charset val="1"/>
          </rPr>
          <t>DATE. Dẫn xuất từ NgayDangKyCoDinh, hoặc ThoiDiemNap − DangKyTruocNapNgay.</t>
        </r>
      </text>
    </comment>
    <comment ref="G1" authorId="0" shapeId="0" xr:uid="{00000000-0006-0000-0B00-000007000000}">
      <text>
        <r>
          <rPr>
            <sz val="11"/>
            <color rgb="FF000000"/>
            <rFont val="Calibri"/>
            <family val="2"/>
            <charset val="1"/>
          </rPr>
          <t>DATE. Dẫn xuất: hạn sau hóa đơn cuối cùng của vé (chuỗi hóa đơn ở sheet HOA_DON_VE_THANG, theo DATEADD(MONTH) của sp_DangKyThanhVien / sp_GiaHanTheThang).</t>
        </r>
      </text>
    </comment>
    <comment ref="H1" authorId="0" shapeId="0" xr:uid="{00000000-0006-0000-0B00-000008000000}">
      <text>
        <r>
          <rPr>
            <sz val="11"/>
            <color rgb="FF000000"/>
            <rFont val="Calibri"/>
            <family val="2"/>
            <charset val="1"/>
          </rPr>
          <t>CK_VeThang_TrangThai.</t>
        </r>
      </text>
    </comment>
    <comment ref="I1" authorId="0" shapeId="0" xr:uid="{00000000-0006-0000-0B00-000009000000}">
      <text>
        <r>
          <rPr>
            <sz val="11"/>
            <color rgb="FF000000"/>
            <rFont val="Calibri"/>
            <family val="2"/>
            <charset val="1"/>
          </rPr>
          <t>Mã bãi hoặc 'ALL' = toàn chuỗi.</t>
        </r>
      </text>
    </comment>
    <comment ref="J1" authorId="0" shapeId="0" xr:uid="{00000000-0006-0000-0B00-00000A000000}">
      <text>
        <r>
          <rPr>
            <sz val="11"/>
            <color rgb="FF000000"/>
            <rFont val="Calibri"/>
            <family val="2"/>
            <charset val="1"/>
          </rPr>
          <t>Ngày đăng ký cố định.</t>
        </r>
      </text>
    </comment>
    <comment ref="K1" authorId="0" shapeId="0" xr:uid="{00000000-0006-0000-0B00-00000B000000}">
      <text>
        <r>
          <rPr>
            <sz val="11"/>
            <color rgb="FF000000"/>
            <rFont val="Calibri"/>
            <family val="2"/>
            <charset val="1"/>
          </rPr>
          <t>Số ngày trước thời điểm nạp (V0007: 28 → vé 1 tháng luôn còn 0-3 ngày khi nạp).</t>
        </r>
      </text>
    </comment>
    <comment ref="N1" authorId="0" shapeId="0" xr:uid="{00000000-0006-0000-0B00-00000C000000}">
      <text>
        <r>
          <rPr>
            <sz val="11"/>
            <color rgb="FF000000"/>
            <rFont val="Calibri"/>
            <family val="2"/>
            <charset val="1"/>
          </rPr>
          <t>DATEDIFF(DAY, hôm nay, NgayHetHan).</t>
        </r>
      </text>
    </comment>
    <comment ref="O1" authorId="0" shapeId="0" xr:uid="{00000000-0006-0000-0B00-00000D000000}">
      <text>
        <r>
          <rPr>
            <sz val="11"/>
            <color rgb="FF000000"/>
            <rFont val="Calibri"/>
            <family val="2"/>
            <charset val="1"/>
          </rPr>
          <t>sp_DemoCanhBaoHanTheThang.</t>
        </r>
      </text>
    </comment>
    <comment ref="P1" authorId="0" shapeId="0" xr:uid="{00000000-0006-0000-0B00-00000E000000}">
      <text>
        <r>
          <rPr>
            <sz val="11"/>
            <color rgb="FF000000"/>
            <rFont val="Calibri"/>
            <family val="2"/>
            <charset val="1"/>
          </rPr>
          <t>vw_Report_VeThangSapHetHan.</t>
        </r>
      </text>
    </comment>
    <comment ref="Q1" authorId="0" shapeId="0" xr:uid="{00000000-0006-0000-0B00-00000F000000}">
      <text>
        <r>
          <rPr>
            <sz val="11"/>
            <color rgb="FF000000"/>
            <rFont val="Calibri"/>
            <family val="2"/>
            <charset val="1"/>
          </rPr>
          <t>Giá vé tháng/tháng: vé gắn bãi = giá bãi đó; vé ALL = giá bãi bán vé (mặc định bãi phát hành thẻ).</t>
        </r>
      </text>
    </comment>
    <comment ref="R1" authorId="0" shapeId="0" xr:uid="{00000000-0006-0000-0B00-000010000000}">
      <text>
        <r>
          <rPr>
            <sz val="11"/>
            <color rgb="FF000000"/>
            <rFont val="Calibri"/>
            <family val="2"/>
            <charset val="1"/>
          </rPr>
          <t>PK_VE_THANG.</t>
        </r>
      </text>
    </comment>
    <comment ref="S1" authorId="0" shapeId="0" xr:uid="{00000000-0006-0000-0B00-000011000000}">
      <text>
        <r>
          <rPr>
            <sz val="11"/>
            <color rgb="FF000000"/>
            <rFont val="Calibri"/>
            <family val="2"/>
            <charset val="1"/>
          </rPr>
          <t>Mã V####.</t>
        </r>
      </text>
    </comment>
    <comment ref="T1" authorId="0" shapeId="0" xr:uid="{00000000-0006-0000-0B00-000012000000}">
      <text>
        <r>
          <rPr>
            <sz val="11"/>
            <color rgb="FF000000"/>
            <rFont val="Calibri"/>
            <family val="2"/>
            <charset val="1"/>
          </rPr>
          <t>UQ_VeThang_MaThe.</t>
        </r>
      </text>
    </comment>
    <comment ref="U1" authorId="0" shapeId="0" xr:uid="{00000000-0006-0000-0B00-000013000000}">
      <text>
        <r>
          <rPr>
            <sz val="11"/>
            <color rgb="FF000000"/>
            <rFont val="Calibri"/>
            <family val="2"/>
            <charset val="1"/>
          </rPr>
          <t>FK_VeThang_TheXe, FK_VeThang_KhachHang.</t>
        </r>
      </text>
    </comment>
    <comment ref="V1" authorId="0" shapeId="0" xr:uid="{00000000-0006-0000-0B00-000014000000}">
      <text>
        <r>
          <rPr>
            <sz val="11"/>
            <color rgb="FF000000"/>
            <rFont val="Calibri"/>
            <family val="2"/>
            <charset val="1"/>
          </rPr>
          <t>Vé gắn thẻ loại Tháng.</t>
        </r>
      </text>
    </comment>
    <comment ref="W1" authorId="0" shapeId="0" xr:uid="{00000000-0006-0000-0B00-000015000000}">
      <text>
        <r>
          <rPr>
            <sz val="11"/>
            <color rgb="FF000000"/>
            <rFont val="Calibri"/>
            <family val="2"/>
            <charset val="1"/>
          </rPr>
          <t>Thẻ thuộc bãi áp dụng (trừ vé ALL).</t>
        </r>
      </text>
    </comment>
    <comment ref="X1" authorId="0" shapeId="0" xr:uid="{00000000-0006-0000-0B00-000016000000}">
      <text>
        <r>
          <rPr>
            <sz val="11"/>
            <color rgb="FF000000"/>
            <rFont val="Calibri"/>
            <family val="2"/>
            <charset val="1"/>
          </rPr>
          <t>trg_KiemTraLoaiXe_VeThang.</t>
        </r>
      </text>
    </comment>
    <comment ref="Y1" authorId="0" shapeId="0" xr:uid="{00000000-0006-0000-0B00-000017000000}">
      <text>
        <r>
          <rPr>
            <sz val="11"/>
            <color rgb="FF000000"/>
            <rFont val="Calibri"/>
            <family val="2"/>
            <charset val="1"/>
          </rPr>
          <t>Mỗi vé phải có ít nhất một hóa đơn đăng ký.</t>
        </r>
      </text>
    </comment>
    <comment ref="Z1" authorId="0" shapeId="0" xr:uid="{00000000-0006-0000-0B00-000018000000}">
      <text>
        <r>
          <rPr>
            <sz val="11"/>
            <color rgb="FF000000"/>
            <rFont val="Calibri"/>
            <family val="2"/>
            <charset val="1"/>
          </rPr>
          <t>CK_VeThang_Han.</t>
        </r>
      </text>
    </comment>
    <comment ref="AA1" authorId="0" shapeId="0" xr:uid="{00000000-0006-0000-0B00-000019000000}">
      <text>
        <r>
          <rPr>
            <sz val="11"/>
            <color rgb="FF000000"/>
            <rFont val="Calibri"/>
            <family val="2"/>
            <charset val="1"/>
          </rPr>
          <t>Vé đã quá hạn (tại ThoiDiemTinh) phải ở trạng thái 'Hết hạn' (cursor sp_DemoCanhBaoHanTheThang).</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C00-000001000000}">
      <text>
        <r>
          <rPr>
            <sz val="11"/>
            <color rgb="FF000000"/>
            <rFont val="Calibri"/>
            <family val="2"/>
            <charset val="1"/>
          </rPr>
          <t>VARCHAR(15) PK. Dẫn xuất: 'HD' + ngày thanh toán yyyymmdd + STT 3 chữ số.</t>
        </r>
      </text>
    </comment>
    <comment ref="B1" authorId="0" shapeId="0" xr:uid="{00000000-0006-0000-0C00-000002000000}">
      <text>
        <r>
          <rPr>
            <sz val="11"/>
            <color rgb="FF000000"/>
            <rFont val="Calibri"/>
            <family val="2"/>
            <charset val="1"/>
          </rPr>
          <t>FK VE_THANG.</t>
        </r>
      </text>
    </comment>
    <comment ref="C1" authorId="0" shapeId="0" xr:uid="{00000000-0006-0000-0C00-000003000000}">
      <text>
        <r>
          <rPr>
            <sz val="11"/>
            <color rgb="FF000000"/>
            <rFont val="Calibri"/>
            <family val="2"/>
            <charset val="1"/>
          </rPr>
          <t>DATETIME. Dẫn xuất từ NgayThanhToanCoDinh, hoặc ThoiDiemNap − ThanhToanTruocNapNgay (ngày, 00:00).</t>
        </r>
      </text>
    </comment>
    <comment ref="D1" authorId="0" shapeId="0" xr:uid="{00000000-0006-0000-0C00-000004000000}">
      <text>
        <r>
          <rPr>
            <sz val="11"/>
            <color rgb="FF000000"/>
            <rFont val="Calibri"/>
            <family val="2"/>
            <charset val="1"/>
          </rPr>
          <t>INT &gt; 0.</t>
        </r>
      </text>
    </comment>
    <comment ref="E1" authorId="0" shapeId="0" xr:uid="{00000000-0006-0000-0C00-000005000000}">
      <text>
        <r>
          <rPr>
            <sz val="11"/>
            <color rgb="FF000000"/>
            <rFont val="Calibri"/>
            <family val="2"/>
            <charset val="1"/>
          </rPr>
          <t>DECIMAL &gt; 0. Dẫn xuất: SoThangGiaHan × GiaVeThang tại bãi tính giá.</t>
        </r>
      </text>
    </comment>
    <comment ref="F1" authorId="0" shapeId="0" xr:uid="{00000000-0006-0000-0C00-000006000000}">
      <text>
        <r>
          <rPr>
            <sz val="11"/>
            <color rgb="FF000000"/>
            <rFont val="Calibri"/>
            <family val="2"/>
            <charset val="1"/>
          </rPr>
          <t>FK BAI_DO_XE: bãi thu tiền.</t>
        </r>
      </text>
    </comment>
    <comment ref="G1" authorId="0" shapeId="0" xr:uid="{00000000-0006-0000-0C00-000007000000}">
      <text>
        <r>
          <rPr>
            <sz val="11"/>
            <color rgb="FF000000"/>
            <rFont val="Calibri"/>
            <family val="2"/>
            <charset val="1"/>
          </rPr>
          <t>Số thứ tự hóa đơn (3 chữ số cuối của MaHD).</t>
        </r>
      </text>
    </comment>
    <comment ref="I1" authorId="0" shapeId="0" xr:uid="{00000000-0006-0000-0C00-000008000000}">
      <text>
        <r>
          <rPr>
            <sz val="11"/>
            <color rgb="FF000000"/>
            <rFont val="Calibri"/>
            <family val="2"/>
            <charset val="1"/>
          </rPr>
          <t>Số ngày trước thời điểm nạp (hóa đơn đăng ký của vé tương đối).</t>
        </r>
      </text>
    </comment>
    <comment ref="L1" authorId="0" shapeId="0" xr:uid="{00000000-0006-0000-0C00-000009000000}">
      <text>
        <r>
          <rPr>
            <sz val="11"/>
            <color rgb="FF000000"/>
            <rFont val="Calibri"/>
            <family val="2"/>
            <charset val="1"/>
          </rPr>
          <t>Vé gắn bãi: bãi áp dụng. Vé ALL: bãi thu tiền (@MaBaiBan của sp_DangKyThanhVien).</t>
        </r>
      </text>
    </comment>
    <comment ref="N1" authorId="0" shapeId="0" xr:uid="{00000000-0006-0000-0C00-00000A000000}">
      <text>
        <r>
          <rPr>
            <sz val="11"/>
            <color rgb="FF000000"/>
            <rFont val="Calibri"/>
            <family val="2"/>
            <charset val="1"/>
          </rPr>
          <t>Hóa đơn đầu của vé: NgayDangKy. Hóa đơn gia hạn: MAX(hạn trước đó, ngày thanh toán) — sp_GiaHanTheThang. Yêu cầu sắp xếp theo MaVe, NgayThanhToan.</t>
        </r>
      </text>
    </comment>
    <comment ref="O1" authorId="0" shapeId="0" xr:uid="{00000000-0006-0000-0C00-00000B000000}">
      <text>
        <r>
          <rPr>
            <sz val="11"/>
            <color rgb="FF000000"/>
            <rFont val="Calibri"/>
            <family val="2"/>
            <charset val="1"/>
          </rPr>
          <t>DATEADD(MONTH, SoThang, MocTinh).</t>
        </r>
      </text>
    </comment>
    <comment ref="P1" authorId="0" shapeId="0" xr:uid="{00000000-0006-0000-0C00-00000C000000}">
      <text>
        <r>
          <rPr>
            <sz val="11"/>
            <color rgb="FF000000"/>
            <rFont val="Calibri"/>
            <family val="2"/>
            <charset val="1"/>
          </rPr>
          <t>PK_HOA_DON_VE_THANG.</t>
        </r>
      </text>
    </comment>
    <comment ref="Q1" authorId="0" shapeId="0" xr:uid="{00000000-0006-0000-0C00-00000D000000}">
      <text>
        <r>
          <rPr>
            <sz val="11"/>
            <color rgb="FF000000"/>
            <rFont val="Calibri"/>
            <family val="2"/>
            <charset val="1"/>
          </rPr>
          <t>FK_HoaDon_VeThang, FK_HoaDon_BaiDoXe.</t>
        </r>
      </text>
    </comment>
    <comment ref="R1" authorId="0" shapeId="0" xr:uid="{00000000-0006-0000-0C00-00000E000000}">
      <text>
        <r>
          <rPr>
            <sz val="11"/>
            <color rgb="FF000000"/>
            <rFont val="Calibri"/>
            <family val="2"/>
            <charset val="1"/>
          </rPr>
          <t>CK_HoaDon_SoThang, CK_HoaDon_SoTien (biểu phí phải tồn tại).</t>
        </r>
      </text>
    </comment>
    <comment ref="S1" authorId="0" shapeId="0" xr:uid="{00000000-0006-0000-0C00-00000F000000}">
      <text>
        <r>
          <rPr>
            <sz val="11"/>
            <color rgb="FF000000"/>
            <rFont val="Calibri"/>
            <family val="2"/>
            <charset val="1"/>
          </rPr>
          <t>Vé gắn một bãi phải thu tiền tại đúng bãi đó.</t>
        </r>
      </text>
    </comment>
    <comment ref="T1" authorId="0" shapeId="0" xr:uid="{00000000-0006-0000-0C00-000010000000}">
      <text>
        <r>
          <rPr>
            <sz val="11"/>
            <color rgb="FF000000"/>
            <rFont val="Calibri"/>
            <family val="2"/>
            <charset val="1"/>
          </rPr>
          <t>Các hóa đơn của cùng một vé xếp liền nhau theo ngày thanh toán (để tính chuỗi hạn).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D00-000001000000}">
      <text>
        <r>
          <rPr>
            <sz val="11"/>
            <color rgb="FF000000"/>
            <rFont val="Calibri"/>
            <family val="2"/>
            <charset val="1"/>
          </rPr>
          <t>INT IDENTITY: seed chèn theo thứ tự dòng nên MaLuot = 1..n.</t>
        </r>
      </text>
    </comment>
    <comment ref="B1" authorId="0" shapeId="0" xr:uid="{00000000-0006-0000-0D00-000002000000}">
      <text>
        <r>
          <rPr>
            <sz val="11"/>
            <color rgb="FF000000"/>
            <rFont val="Calibri"/>
            <family val="2"/>
            <charset val="1"/>
          </rPr>
          <t>FK THE_XE.</t>
        </r>
      </text>
    </comment>
    <comment ref="C1" authorId="0" shapeId="0" xr:uid="{00000000-0006-0000-0D00-000003000000}">
      <text>
        <r>
          <rPr>
            <sz val="11"/>
            <color rgb="FF000000"/>
            <rFont val="Calibri"/>
            <family val="2"/>
            <charset val="1"/>
          </rPr>
          <t>VARCHAR(15).</t>
        </r>
      </text>
    </comment>
    <comment ref="D1" authorId="0" shapeId="0" xr:uid="{00000000-0006-0000-0D00-000004000000}">
      <text>
        <r>
          <rPr>
            <sz val="11"/>
            <color rgb="FF000000"/>
            <rFont val="Calibri"/>
            <family val="2"/>
            <charset val="1"/>
          </rPr>
          <t>DATETIME. Dẫn xuất từ ThoiGianVaoCoDinh, hoặc ThoiDiemNap − VaoTruocNapPhut (seed sinh DATEADD(MINUTE, -n, GETDATE())).</t>
        </r>
      </text>
    </comment>
    <comment ref="E1" authorId="0" shapeId="0" xr:uid="{00000000-0006-0000-0D00-000005000000}">
      <text>
        <r>
          <rPr>
            <sz val="11"/>
            <color rgb="FF000000"/>
            <rFont val="Calibri"/>
            <family val="2"/>
            <charset val="1"/>
          </rPr>
          <t>DATETIME NULL = xe đang trong bãi.</t>
        </r>
      </text>
    </comment>
    <comment ref="F1" authorId="0" shapeId="0" xr:uid="{00000000-0006-0000-0D00-000006000000}">
      <text>
        <r>
          <rPr>
            <sz val="11"/>
            <color rgb="FF000000"/>
            <rFont val="Calibri"/>
            <family val="2"/>
            <charset val="1"/>
          </rPr>
          <t>FK VI_TRI_DO.</t>
        </r>
      </text>
    </comment>
    <comment ref="G1" authorId="0" shapeId="0" xr:uid="{00000000-0006-0000-0D00-000007000000}">
      <text>
        <r>
          <rPr>
            <sz val="11"/>
            <color rgb="FF000000"/>
            <rFont val="Calibri"/>
            <family val="2"/>
            <charset val="1"/>
          </rPr>
          <t>DECIMAL. Dẫn xuất: lượt đã ra = TienTinh (f_TinhTienGuiXe / sp_XeRaBai); lượt đang đỗ = 0.</t>
        </r>
      </text>
    </comment>
    <comment ref="H1" authorId="0" shapeId="0" xr:uid="{00000000-0006-0000-0D00-000008000000}">
      <text>
        <r>
          <rPr>
            <sz val="11"/>
            <color rgb="FF000000"/>
            <rFont val="Calibri"/>
            <family val="2"/>
            <charset val="1"/>
          </rPr>
          <t>FK BAI_DO_XE.</t>
        </r>
      </text>
    </comment>
    <comment ref="I1" authorId="0" shapeId="0" xr:uid="{00000000-0006-0000-0D00-000009000000}">
      <text>
        <r>
          <rPr>
            <sz val="11"/>
            <color rgb="FF000000"/>
            <rFont val="Calibri"/>
            <family val="2"/>
            <charset val="1"/>
          </rPr>
          <t>Giờ vào cố định (lượt đã ra).</t>
        </r>
      </text>
    </comment>
    <comment ref="J1" authorId="0" shapeId="0" xr:uid="{00000000-0006-0000-0D00-00000A000000}">
      <text>
        <r>
          <rPr>
            <sz val="11"/>
            <color rgb="FF000000"/>
            <rFont val="Calibri"/>
            <family val="2"/>
            <charset val="1"/>
          </rPr>
          <t>Giờ ra; để trống nếu xe đang đỗ.</t>
        </r>
      </text>
    </comment>
    <comment ref="K1" authorId="0" shapeId="0" xr:uid="{00000000-0006-0000-0D00-00000B000000}">
      <text>
        <r>
          <rPr>
            <sz val="11"/>
            <color rgb="FF000000"/>
            <rFont val="Calibri"/>
            <family val="2"/>
            <charset val="1"/>
          </rPr>
          <t>Xe đang đỗ: vào trước thời điểm nạp seed bao nhiêu phút.</t>
        </r>
      </text>
    </comment>
    <comment ref="M1" authorId="0" shapeId="0" xr:uid="{00000000-0006-0000-0D00-00000C000000}">
      <text>
        <r>
          <rPr>
            <sz val="11"/>
            <color rgb="FF000000"/>
            <rFont val="Calibri"/>
            <family val="2"/>
            <charset val="1"/>
          </rPr>
          <t>sp_XeRaBai tính theo loại xe của Ô ĐỖ.</t>
        </r>
      </text>
    </comment>
    <comment ref="O1" authorId="0" shapeId="0" xr:uid="{00000000-0006-0000-0D00-00000D000000}">
      <text>
        <r>
          <rPr>
            <sz val="11"/>
            <color rgb="FF000000"/>
            <rFont val="Calibri"/>
            <family val="2"/>
            <charset val="1"/>
          </rPr>
          <t>Đã ra: giờ ra. Đang đỗ: ThoiDiemTinh.</t>
        </r>
      </text>
    </comment>
    <comment ref="P1" authorId="0" shapeId="0" xr:uid="{00000000-0006-0000-0D00-00000E000000}">
      <text>
        <r>
          <rPr>
            <sz val="11"/>
            <color rgb="FF000000"/>
            <rFont val="Calibri"/>
            <family val="2"/>
            <charset val="1"/>
          </rPr>
          <t>DATEDIFF(MINUTE).</t>
        </r>
      </text>
    </comment>
    <comment ref="Q1" authorId="0" shapeId="0" xr:uid="{00000000-0006-0000-0D00-00000F000000}">
      <text>
        <r>
          <rPr>
            <sz val="11"/>
            <color rgb="FF000000"/>
            <rFont val="Calibri"/>
            <family val="2"/>
            <charset val="1"/>
          </rPr>
          <t>f_TinhTienGuiXe.</t>
        </r>
      </text>
    </comment>
    <comment ref="R1" authorId="0" shapeId="0" xr:uid="{00000000-0006-0000-0D00-000010000000}">
      <text>
        <r>
          <rPr>
            <sz val="11"/>
            <color rgb="FF000000"/>
            <rFont val="Calibri"/>
            <family val="2"/>
            <charset val="1"/>
          </rPr>
          <t>Thẻ Tháng = 0; thẻ Lượt = SoBlockGio × DonGiaGio. Xe đang đỗ: tiền tạm tính (v_BotCong_XeChoRa).</t>
        </r>
      </text>
    </comment>
    <comment ref="U1" authorId="0" shapeId="0" xr:uid="{00000000-0006-0000-0D00-000011000000}">
      <text>
        <r>
          <rPr>
            <sz val="11"/>
            <color rgb="FF000000"/>
            <rFont val="Calibri"/>
            <family val="2"/>
            <charset val="1"/>
          </rPr>
          <t>v_BotCong_XeChoRa.</t>
        </r>
      </text>
    </comment>
    <comment ref="V1" authorId="0" shapeId="0" xr:uid="{00000000-0006-0000-0D00-000012000000}">
      <text>
        <r>
          <rPr>
            <sz val="11"/>
            <color rgb="FF000000"/>
            <rFont val="Calibri"/>
            <family val="2"/>
            <charset val="1"/>
          </rPr>
          <t>IDENTITY: dòng thứ n có MaLuot = n.</t>
        </r>
      </text>
    </comment>
    <comment ref="W1" authorId="0" shapeId="0" xr:uid="{00000000-0006-0000-0D00-000013000000}">
      <text>
        <r>
          <rPr>
            <sz val="11"/>
            <color rgb="FF000000"/>
            <rFont val="Calibri"/>
            <family val="2"/>
            <charset val="1"/>
          </rPr>
          <t>FK_LuotGui_*.</t>
        </r>
      </text>
    </comment>
    <comment ref="X1" authorId="0" shapeId="0" xr:uid="{00000000-0006-0000-0D00-000014000000}">
      <text>
        <r>
          <rPr>
            <sz val="11"/>
            <color rgb="FF000000"/>
            <rFont val="Calibri"/>
            <family val="2"/>
            <charset val="1"/>
          </rPr>
          <t>Ô đỗ thuộc bãi của lượt.</t>
        </r>
      </text>
    </comment>
    <comment ref="Y1" authorId="0" shapeId="0" xr:uid="{00000000-0006-0000-0D00-000015000000}">
      <text>
        <r>
          <rPr>
            <sz val="11"/>
            <color rgb="FF000000"/>
            <rFont val="Calibri"/>
            <family val="2"/>
            <charset val="1"/>
          </rPr>
          <t>Thẻ lượt chỉ dùng tại bãi phát hành.</t>
        </r>
      </text>
    </comment>
    <comment ref="Z1" authorId="0" shapeId="0" xr:uid="{00000000-0006-0000-0D00-000016000000}">
      <text>
        <r>
          <rPr>
            <sz val="11"/>
            <color rgb="FF000000"/>
            <rFont val="Calibri"/>
            <family val="2"/>
            <charset val="1"/>
          </rPr>
          <t>trg_KiemTraBaiApDungVeThang (50004).</t>
        </r>
      </text>
    </comment>
    <comment ref="AA1" authorId="0" shapeId="0" xr:uid="{00000000-0006-0000-0D00-000017000000}">
      <text>
        <r>
          <rPr>
            <sz val="11"/>
            <color rgb="FF000000"/>
            <rFont val="Calibri"/>
            <family val="2"/>
            <charset val="1"/>
          </rPr>
          <t>CK_LuotGui_ThoiGianRa.</t>
        </r>
      </text>
    </comment>
    <comment ref="AB1" authorId="0" shapeId="0" xr:uid="{00000000-0006-0000-0D00-000018000000}">
      <text>
        <r>
          <rPr>
            <sz val="11"/>
            <color rgb="FF000000"/>
            <rFont val="Calibri"/>
            <family val="2"/>
            <charset val="1"/>
          </rPr>
          <t>Xe đang đỗ không dùng thẻ khóa/mất hoặc vé 'Hết hạn' (trigger chặn check-in).</t>
        </r>
      </text>
    </comment>
    <comment ref="AC1" authorId="0" shapeId="0" xr:uid="{00000000-0006-0000-0D00-000019000000}">
      <text>
        <r>
          <rPr>
            <sz val="11"/>
            <color rgb="FF000000"/>
            <rFont val="Calibri"/>
            <family val="2"/>
            <charset val="1"/>
          </rPr>
          <t>Xe tháng gửi đúng biển số đăng ký.</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E00-000001000000}">
      <text>
        <r>
          <rPr>
            <sz val="11"/>
            <color rgb="FF000000"/>
            <rFont val="Calibri"/>
            <family val="2"/>
            <charset val="1"/>
          </rPr>
          <t>INT IDENTITY: MaSuCo = 1..n theo thứ tự dòng.</t>
        </r>
      </text>
    </comment>
    <comment ref="B1" authorId="0" shapeId="0" xr:uid="{00000000-0006-0000-0E00-000002000000}">
      <text>
        <r>
          <rPr>
            <sz val="11"/>
            <color rgb="FF000000"/>
            <rFont val="Calibri"/>
            <family val="2"/>
            <charset val="1"/>
          </rPr>
          <t>FK THE_XE, NULL được.</t>
        </r>
      </text>
    </comment>
    <comment ref="C1" authorId="0" shapeId="0" xr:uid="{00000000-0006-0000-0E00-000003000000}">
      <text>
        <r>
          <rPr>
            <sz val="11"/>
            <color rgb="FF000000"/>
            <rFont val="Calibri"/>
            <family val="2"/>
            <charset val="1"/>
          </rPr>
          <t>VARCHAR(15) NULL.</t>
        </r>
      </text>
    </comment>
    <comment ref="D1" authorId="0" shapeId="0" xr:uid="{00000000-0006-0000-0E00-000004000000}">
      <text>
        <r>
          <rPr>
            <sz val="11"/>
            <color rgb="FF000000"/>
            <rFont val="Calibri"/>
            <family val="2"/>
            <charset val="1"/>
          </rPr>
          <t>DATETIME.</t>
        </r>
      </text>
    </comment>
    <comment ref="E1" authorId="0" shapeId="0" xr:uid="{00000000-0006-0000-0E00-000005000000}">
      <text>
        <r>
          <rPr>
            <sz val="11"/>
            <color rgb="FF000000"/>
            <rFont val="Calibri"/>
            <family val="2"/>
            <charset val="1"/>
          </rPr>
          <t>NVARCHAR(500).</t>
        </r>
      </text>
    </comment>
    <comment ref="F1" authorId="0" shapeId="0" xr:uid="{00000000-0006-0000-0E00-000006000000}">
      <text>
        <r>
          <rPr>
            <sz val="11"/>
            <color rgb="FF000000"/>
            <rFont val="Calibri"/>
            <family val="2"/>
            <charset val="1"/>
          </rPr>
          <t>DECIMAL &gt;= 0. Dẫn xuất: sự cố mất thẻ = PhatMatThe (trg_LogLichSuSuCo); sự cố khác = TienPhatKhac.</t>
        </r>
      </text>
    </comment>
    <comment ref="G1" authorId="0" shapeId="0" xr:uid="{00000000-0006-0000-0E00-000007000000}">
      <text>
        <r>
          <rPr>
            <sz val="11"/>
            <color rgb="FF000000"/>
            <rFont val="Calibri"/>
            <family val="2"/>
            <charset val="1"/>
          </rPr>
          <t>CK_SuCo_TrangThai.</t>
        </r>
      </text>
    </comment>
    <comment ref="H1" authorId="0" shapeId="0" xr:uid="{00000000-0006-0000-0E00-000008000000}">
      <text>
        <r>
          <rPr>
            <sz val="11"/>
            <color rgb="FF000000"/>
            <rFont val="Calibri"/>
            <family val="2"/>
            <charset val="1"/>
          </rPr>
          <t>FK BAI_DO_XE.</t>
        </r>
      </text>
    </comment>
    <comment ref="I1" authorId="0" shapeId="0" xr:uid="{00000000-0006-0000-0E00-000009000000}">
      <text>
        <r>
          <rPr>
            <sz val="11"/>
            <color rgb="FF000000"/>
            <rFont val="Calibri"/>
            <family val="2"/>
            <charset val="1"/>
          </rPr>
          <t>Tiền phạt/bồi thường của sự cố không phải mất thẻ.</t>
        </r>
      </text>
    </comment>
    <comment ref="J1" authorId="0" shapeId="0" xr:uid="{00000000-0006-0000-0E00-00000A000000}">
      <text>
        <r>
          <rPr>
            <sz val="11"/>
            <color rgb="FF000000"/>
            <rFont val="Calibri"/>
            <family val="2"/>
            <charset val="1"/>
          </rPr>
          <t>Mô tả chứa 'mất thẻ'.</t>
        </r>
      </text>
    </comment>
    <comment ref="M1" authorId="0" shapeId="0" xr:uid="{00000000-0006-0000-0E00-00000B000000}">
      <text>
        <r>
          <rPr>
            <sz val="11"/>
            <color rgb="FF000000"/>
            <rFont val="Calibri"/>
            <family val="2"/>
            <charset val="1"/>
          </rPr>
          <t>IDENTITY.</t>
        </r>
      </text>
    </comment>
    <comment ref="N1" authorId="0" shapeId="0" xr:uid="{00000000-0006-0000-0E00-00000C000000}">
      <text>
        <r>
          <rPr>
            <sz val="11"/>
            <color rgb="FF000000"/>
            <rFont val="Calibri"/>
            <family val="2"/>
            <charset val="1"/>
          </rPr>
          <t>FK_SuCo_*.</t>
        </r>
      </text>
    </comment>
    <comment ref="O1" authorId="0" shapeId="0" xr:uid="{00000000-0006-0000-0E00-00000D000000}">
      <text>
        <r>
          <rPr>
            <sz val="11"/>
            <color rgb="FF000000"/>
            <rFont val="Calibri"/>
            <family val="2"/>
            <charset val="1"/>
          </rPr>
          <t>CK_SuCo_TienPhat.</t>
        </r>
      </text>
    </comment>
    <comment ref="P1" authorId="0" shapeId="0" xr:uid="{00000000-0006-0000-0E00-00000E000000}">
      <text>
        <r>
          <rPr>
            <sz val="11"/>
            <color rgb="FF000000"/>
            <rFont val="Calibri"/>
            <family val="2"/>
            <charset val="1"/>
          </rPr>
          <t>Thẻ báo mất phải ở trạng thái 'Mất'.</t>
        </r>
      </text>
    </comment>
    <comment ref="Q1" authorId="0" shapeId="0" xr:uid="{00000000-0006-0000-0E00-00000F000000}">
      <text>
        <r>
          <rPr>
            <sz val="11"/>
            <color rgb="FF000000"/>
            <rFont val="Calibri"/>
            <family val="2"/>
            <charset val="1"/>
          </rPr>
          <t>Sự cố ghi nhận tại bãi phát hành thẻ.</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F00-000001000000}">
      <text>
        <r>
          <rPr>
            <sz val="11"/>
            <color rgb="FF000000"/>
            <rFont val="Calibri"/>
            <family val="2"/>
            <charset val="1"/>
          </rPr>
          <t>vw_Report_CongSuatBaiDo: ROUND(SoLuongHienTai*100.0/SucChua, 2).</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1000-000001000000}">
      <text>
        <r>
          <rPr>
            <sz val="11"/>
            <color rgb="FF000000"/>
            <rFont val="Calibri"/>
            <family val="2"/>
            <charset val="1"/>
          </rPr>
          <t>Sắp theo TongDoanhThu giảm dần tại thời điểm kết xuất; XepHang tự tính lại.</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1100-000001000000}">
      <text>
        <r>
          <rPr>
            <sz val="11"/>
            <color rgb="FF000000"/>
            <rFont val="Calibri"/>
            <family val="2"/>
            <charset val="1"/>
          </rPr>
          <t>Kết quả quét của sp_DemoCanhBaoHanTheThang, sắp theo NgayHetHan.</t>
        </r>
      </text>
    </comment>
  </commentList>
</comments>
</file>

<file path=xl/sharedStrings.xml><?xml version="1.0" encoding="utf-8"?>
<sst xmlns="http://schemas.openxmlformats.org/spreadsheetml/2006/main" count="1229" uniqueCount="554">
  <si>
    <t>DỮ LIỆU MẪU QuanLyBaiDoXe — FILE NGUỒN CHUẨN (MASTER)</t>
  </si>
  <si>
    <t>Sửa dữ liệu ở đây (không sửa tay file SQL), lưu bằng Excel/LibreOffice để có giá trị đã tính, rồi sinh lại seed.</t>
  </si>
  <si>
    <t>Màu header</t>
  </si>
  <si>
    <t>• Xanh đậm = cột DB nhập tay (chữ xanh dương).  • Xanh nhạt = cột nhập phụ, không phải cột DB (mốc thời gian, mật khẩu mẫu, STT…).</t>
  </si>
  <si>
    <t>• Cam = cột DB DẪN XUẤT bằng công thức — không nhập tay; seed ghi giá trị tính được.  • Xanh lá = cột phụ / cờ kiểm tra KT_*.</t>
  </si>
  <si>
    <t>• Rê chuột vào header để xem kiểu SQL, ràng buộc và đối tượng SQL tương ứng.</t>
  </si>
  <si>
    <t>Ràng buộc</t>
  </si>
  <si>
    <t>• Data Validation chặn khi nhập: danh sách trạng thái, khóa ngoại (chọn từ sheet cha), độ dài theo VARCHAR(n), số dương.</t>
  </si>
  <si>
    <t>• Cờ KT_* kiểm tra cả dữ liệu đã có: PK, UNIQUE, FK, CHECK, định dạng mã, quy tắc nghiệp vụ. Tổng hợp ở sheet KiemTra — phải ĐẠT hết trước khi sinh seed.</t>
  </si>
  <si>
    <t>• Sheet LechLogicDB liệt kê các quy tắc của file này mà code/DB hiện chưa thực thi (chưa sửa, chỉ ghi nhận).</t>
  </si>
  <si>
    <t>Thời gian</t>
  </si>
  <si>
    <t>• ThoiDiemNap (ThamSo) = GETDATE() lúc chạy seed. Dòng có cột ...TruocNap... được sinh thành DATEADD(..., GETDATE()) để luôn đúng khi nạp lại.</t>
  </si>
  <si>
    <t>• ThoiDiemTinh (ô vàng) = thời điểm đánh giá công thức; mặc định = ThoiDiemNap. Giờ theo SQL Server (UTC trong Docker).</t>
  </si>
  <si>
    <t>Quy tắc tính chính</t>
  </si>
  <si>
    <t>• SucChua = số ô; SoLuongHienTai = số lượt chưa ra; TrangThai ô = 'Đã đỗ' nếu có lượt mở.</t>
  </si>
  <si>
    <t>• TienGui = 0 nếu thẻ Tháng; ngược lại &lt;= 15 phút miễn phí, sau đó CEILING(phút/60) × đơn giá giờ của loại xe theo ô đỗ.</t>
  </si>
  <si>
    <t>• Hóa đơn: SoTien = số tháng × giá vé tháng tại bãi tính giá (vé gắn bãi: bãi đó; vé ALL: bãi thu tiền). NgayHetHan = chuỗi EDATE qua các hóa đơn.</t>
  </si>
  <si>
    <t>• Vé ALL gửi được mọi bãi; vé gắn bãi chỉ gửi tại bãi đó; thẻ lượt chỉ dùng tại bãi phát hành.</t>
  </si>
  <si>
    <t>Tham số</t>
  </si>
  <si>
    <t>Giá trị</t>
  </si>
  <si>
    <t>Nguồn logic (SQL)</t>
  </si>
  <si>
    <t>Ghi chú</t>
  </si>
  <si>
    <t>ThoiDiemNap</t>
  </si>
  <si>
    <t>GETDATE() khi chạy seed</t>
  </si>
  <si>
    <t>Gốc của các mốc thời gian tương đối (lượt đang đỗ, vé V0007). Khi sinh SQL, các dòng tương đối được viết thành DATEADD(..., GETDATE()). Giờ theo SQL Server (container Docker chạy UTC).</t>
  </si>
  <si>
    <t>ThoiDiemTinh</t>
  </si>
  <si>
    <t>GETDATE() khi truy vấn</t>
  </si>
  <si>
    <t>Thời điểm đánh giá công thức phụ thuộc thời gian (tiền tạm tính xe đang đỗ, số ngày còn lại của vé). Mặc định = ThoiDiemNap; nhập ngày giờ khác để mô phỏng, hoặc =NOW()-LechGioMayVsDB/24.</t>
  </si>
  <si>
    <t>LechGioMayVsDB</t>
  </si>
  <si>
    <t>Múi giờ</t>
  </si>
  <si>
    <t>Giờ máy mở file trừ giờ SQL Server (Việt Nam UTC+7, SQL Server trong Docker UTC).</t>
  </si>
  <si>
    <t>PhutMienPhi</t>
  </si>
  <si>
    <t>f_TinhTienGuiXe</t>
  </si>
  <si>
    <t>Đỗ &lt;= 15 phút miễn phí.</t>
  </si>
  <si>
    <t>PhutMoiBlock</t>
  </si>
  <si>
    <t>Làm tròn lên block: CEILING(SoPhut / 60).</t>
  </si>
  <si>
    <t>NguongCursorNgay</t>
  </si>
  <si>
    <t>sp_DemoCanhBaoHanTheThang</t>
  </si>
  <si>
    <t>Còn &lt;= 3 ngày: cảnh báo nhắc nộp phí.</t>
  </si>
  <si>
    <t>NguongViewNgay</t>
  </si>
  <si>
    <t>vw_Report_VeThangSapHetHan</t>
  </si>
  <si>
    <t>View liệt kê vé còn &lt;= 7 ngày (gồm vé đã quá hạn).</t>
  </si>
  <si>
    <t>PhatMatThe</t>
  </si>
  <si>
    <t>trg_LogLichSuSuCo / sp_BaoMatThe</t>
  </si>
  <si>
    <t>Phí phạt đền bù thẻ vật lý khi báo mất.</t>
  </si>
  <si>
    <t>NguongDoanhThuRatCao</t>
  </si>
  <si>
    <t>sp_DemoTongKetDoanhThuChuoi</t>
  </si>
  <si>
    <t>Tổng doanh thu &gt;= ngưỡng: 'Hiệu quả rất cao'.</t>
  </si>
  <si>
    <t>NguongDoanhThuTot</t>
  </si>
  <si>
    <t>Tổng doanh thu &gt;= ngưỡng: 'Hiệu quả tốt'.</t>
  </si>
  <si>
    <t>Sheet</t>
  </si>
  <si>
    <t>Quy tắc</t>
  </si>
  <si>
    <t>Ràng buộc / đối tượng SQL</t>
  </si>
  <si>
    <t>Số dòng LỆCH</t>
  </si>
  <si>
    <t>Kết quả</t>
  </si>
  <si>
    <t>BAI_DO_XE</t>
  </si>
  <si>
    <t>KT_PK</t>
  </si>
  <si>
    <t>PK_BAI_DO_XE.</t>
  </si>
  <si>
    <t>KT_TenBaiDuyNhat</t>
  </si>
  <si>
    <t>UQ_TenBai.</t>
  </si>
  <si>
    <t>KT_DinhDangMa</t>
  </si>
  <si>
    <t>Mã bãi dạng BAI_xx.</t>
  </si>
  <si>
    <t>KT_SucChuaDuong</t>
  </si>
  <si>
    <t>CK_SucChua: SucChua &gt; 0 (bãi phải có ô đỗ).</t>
  </si>
  <si>
    <t>KT_KhongVuotSucChua</t>
  </si>
  <si>
    <t>CK_SoLuongHienTai.</t>
  </si>
  <si>
    <t>NHAN_VIEN</t>
  </si>
  <si>
    <t>PK_NHAN_VIEN.</t>
  </si>
  <si>
    <t>Mã NV###.</t>
  </si>
  <si>
    <t>KT_SDTDuyNhat</t>
  </si>
  <si>
    <t>UQ_NhanVien_SDT.</t>
  </si>
  <si>
    <t>KT_EmailDuyNhat</t>
  </si>
  <si>
    <t>UQ_NhanVien_Email.</t>
  </si>
  <si>
    <t>KT_FK_MaBai</t>
  </si>
  <si>
    <t>FK_NhanVien_BaiDoXe.</t>
  </si>
  <si>
    <t>KT_PhamViTheoChucVu</t>
  </si>
  <si>
    <t>Giám đốc phụ trách toàn chuỗi (MaBai trống); Quản lý bãi / Bảo vệ phải gắn một bãi.</t>
  </si>
  <si>
    <t>TAI_KHOAN</t>
  </si>
  <si>
    <t>PK_TAI_KHOAN.</t>
  </si>
  <si>
    <t>KT_FK_MaNV</t>
  </si>
  <si>
    <t>FK_TaiKhoan_NhanVien.</t>
  </si>
  <si>
    <t>KT_DoDaiHash</t>
  </si>
  <si>
    <t>SHA-256 hex 64 ký tự.</t>
  </si>
  <si>
    <t>LOAI_XE</t>
  </si>
  <si>
    <t>PK_LOAI_XE (MaLoaiXe, MaBai).</t>
  </si>
  <si>
    <t>FK_LoaiXe_BaiDoXe.</t>
  </si>
  <si>
    <t>KT_GiaDuong</t>
  </si>
  <si>
    <t>CK_DonGiaGio, CK_GiaVeThang.</t>
  </si>
  <si>
    <t>VI_TRI_DO</t>
  </si>
  <si>
    <t>PK_VI_TRI_DO.</t>
  </si>
  <si>
    <t>Mã ô = &lt;mã bãi bỏ 'BAI_'&gt;_&lt;MaLoaiXe&gt;_&lt;số&gt;.</t>
  </si>
  <si>
    <t>KT_FK_LoaiXeTaiBai</t>
  </si>
  <si>
    <t>FK_ViTriDo_LoaiXe.</t>
  </si>
  <si>
    <t>KT_DoDaiKhuVuc</t>
  </si>
  <si>
    <t>KhuVuc NVARCHAR(20).</t>
  </si>
  <si>
    <t>KT_MotXeMotO</t>
  </si>
  <si>
    <t>Một ô chỉ chứa tối đa 1 xe đang đỗ.</t>
  </si>
  <si>
    <t>THE_XE</t>
  </si>
  <si>
    <t>PK_THE_XE.</t>
  </si>
  <si>
    <t>Mã THE####.</t>
  </si>
  <si>
    <t>FK_TheXe_BaiDoXe.</t>
  </si>
  <si>
    <t>KT_TheThangCoVe</t>
  </si>
  <si>
    <t>Thẻ loại Tháng phải gắn một vé tháng.</t>
  </si>
  <si>
    <t>KT_MotLuotMo</t>
  </si>
  <si>
    <t>Mỗi thẻ tối đa 1 lượt đang mở.</t>
  </si>
  <si>
    <t>KT_TheHongKhongDangDo</t>
  </si>
  <si>
    <t>Thẻ khóa/mất không có lượt đang mở.</t>
  </si>
  <si>
    <t>KHACH_HANG</t>
  </si>
  <si>
    <t>PK_KHACH_HANG.</t>
  </si>
  <si>
    <t>Mã KH####.</t>
  </si>
  <si>
    <t>UQ_KhachHang_SDT.</t>
  </si>
  <si>
    <t>UQ_KhachHang_Email.</t>
  </si>
  <si>
    <t>KT_CCCDDuyNhat</t>
  </si>
  <si>
    <t>UQ_KhachHang_CMND.</t>
  </si>
  <si>
    <t>KT_CCCD12So</t>
  </si>
  <si>
    <t>CCCD 12 chữ số.</t>
  </si>
  <si>
    <t>VE_THANG</t>
  </si>
  <si>
    <t>PK_VE_THANG.</t>
  </si>
  <si>
    <t>Mã V####.</t>
  </si>
  <si>
    <t>KT_MaTheDuyNhat</t>
  </si>
  <si>
    <t>UQ_VeThang_MaThe.</t>
  </si>
  <si>
    <t>KT_FK</t>
  </si>
  <si>
    <t>FK_VeThang_TheXe, FK_VeThang_KhachHang.</t>
  </si>
  <si>
    <t>KT_TheLoaiThang</t>
  </si>
  <si>
    <t>Vé gắn thẻ loại Tháng.</t>
  </si>
  <si>
    <t>KT_TheCungBai</t>
  </si>
  <si>
    <t>Thẻ thuộc bãi áp dụng (trừ vé ALL).</t>
  </si>
  <si>
    <t>KT_LoaiXeTaiBai</t>
  </si>
  <si>
    <t>trg_KiemTraLoaiXe_VeThang.</t>
  </si>
  <si>
    <t>KT_CoHoaDon</t>
  </si>
  <si>
    <t>Mỗi vé phải có ít nhất một hóa đơn đăng ký.</t>
  </si>
  <si>
    <t>KT_HanHopLe</t>
  </si>
  <si>
    <t>CK_VeThang_Han.</t>
  </si>
  <si>
    <t>KT_QuaHanLaHetHan</t>
  </si>
  <si>
    <t>Vé đã quá hạn (tại ThoiDiemTinh) phải ở trạng thái 'Hết hạn' (cursor sp_DemoCanhBaoHanTheThang).</t>
  </si>
  <si>
    <t>HOA_DON_VE_THANG</t>
  </si>
  <si>
    <t>PK_HOA_DON_VE_THANG.</t>
  </si>
  <si>
    <t>FK_HoaDon_VeThang, FK_HoaDon_BaiDoXe.</t>
  </si>
  <si>
    <t>KT_SoThangDuong</t>
  </si>
  <si>
    <t>CK_HoaDon_SoThang, CK_HoaDon_SoTien (biểu phí phải tồn tại).</t>
  </si>
  <si>
    <t>KT_ThuDungBai</t>
  </si>
  <si>
    <t>Vé gắn một bãi phải thu tiền tại đúng bãi đó.</t>
  </si>
  <si>
    <t>KT_SapXep</t>
  </si>
  <si>
    <t>Các hóa đơn của cùng một vé xếp liền nhau theo ngày thanh toán (để tính chuỗi hạn).</t>
  </si>
  <si>
    <t>LUOT_GUI</t>
  </si>
  <si>
    <t>KT_MaLuotTuTang</t>
  </si>
  <si>
    <t>IDENTITY: dòng thứ n có MaLuot = n.</t>
  </si>
  <si>
    <t>FK_LuotGui_*.</t>
  </si>
  <si>
    <t>KT_ODungBai</t>
  </si>
  <si>
    <t>Ô đỗ thuộc bãi của lượt.</t>
  </si>
  <si>
    <t>KT_TheLuotDungBai</t>
  </si>
  <si>
    <t>Thẻ lượt chỉ dùng tại bãi phát hành.</t>
  </si>
  <si>
    <t>KT_DungBaiApDung</t>
  </si>
  <si>
    <t>trg_KiemTraBaiApDungVeThang (50004).</t>
  </si>
  <si>
    <t>KT_ThoiGian</t>
  </si>
  <si>
    <t>CK_LuotGui_ThoiGianRa.</t>
  </si>
  <si>
    <t>KT_LuotMoHopLe</t>
  </si>
  <si>
    <t>Xe đang đỗ không dùng thẻ khóa/mất hoặc vé 'Hết hạn' (trigger chặn check-in).</t>
  </si>
  <si>
    <t>KT_BienSoVeThang</t>
  </si>
  <si>
    <t>Xe tháng gửi đúng biển số đăng ký.</t>
  </si>
  <si>
    <t>LICHSU_SU_CO</t>
  </si>
  <si>
    <t>KT_MaSuCoTuTang</t>
  </si>
  <si>
    <t>IDENTITY.</t>
  </si>
  <si>
    <t>FK_SuCo_*.</t>
  </si>
  <si>
    <t>KT_TienPhatKhongAm</t>
  </si>
  <si>
    <t>CK_SuCo_TienPhat.</t>
  </si>
  <si>
    <t>KT_TheMatDaKhoa</t>
  </si>
  <si>
    <t>Thẻ báo mất phải ở trạng thái 'Mất'.</t>
  </si>
  <si>
    <t>Sự cố ghi nhận tại bãi phát hành thẻ.</t>
  </si>
  <si>
    <t>Tổng số quy tắc LỆCH</t>
  </si>
  <si>
    <t>MaBai</t>
  </si>
  <si>
    <t>TenBai</t>
  </si>
  <si>
    <t>DiaChi</t>
  </si>
  <si>
    <t>SucChua</t>
  </si>
  <si>
    <t>SoLuongHienTai</t>
  </si>
  <si>
    <t>SoChoTrong</t>
  </si>
  <si>
    <t>TyLeLapDay</t>
  </si>
  <si>
    <t>DoanhThuLuot</t>
  </si>
  <si>
    <t>DoanhThuThang</t>
  </si>
  <si>
    <t>TongDoanhThu</t>
  </si>
  <si>
    <t>DanhGiaHieuQua</t>
  </si>
  <si>
    <t>XepHangDoanhThu</t>
  </si>
  <si>
    <t>BAI_BT</t>
  </si>
  <si>
    <t>Bãi xe Landmark 81</t>
  </si>
  <si>
    <t>Số 208 Nguyễn Hữu Cảnh, Phường 22, Bình Thạnh, TP.HCM</t>
  </si>
  <si>
    <t>BAI_Q1</t>
  </si>
  <si>
    <t>Bãi xe Lê Lai - Bến Thành</t>
  </si>
  <si>
    <t>Số 26 Lê Lai, Phường Bến Thành, Quận 1, TP.HCM</t>
  </si>
  <si>
    <t>BAI_Q3</t>
  </si>
  <si>
    <t>Bãi xe Hai Bà Trưng</t>
  </si>
  <si>
    <t>Số 180 Hai Bà Trưng, Phường Đa Kao, Quận 3, TP.HCM</t>
  </si>
  <si>
    <t>BAI_Q7</t>
  </si>
  <si>
    <t>Bãi xe SC VivoCity</t>
  </si>
  <si>
    <t>Số 1058 Nguyễn Văn Linh, Phường Tân Phong, Quận 7, TP.HCM</t>
  </si>
  <si>
    <t>BAI_TB</t>
  </si>
  <si>
    <t>Bãi xe TCP Park - Sân bay Tân Sơn Nhất</t>
  </si>
  <si>
    <t>Cạnh nhà ga quốc nội, Cảng HKQT Tân Sơn Nhất, Phường 2, Quận Tân Bình, TP.HCM</t>
  </si>
  <si>
    <t>MaNV</t>
  </si>
  <si>
    <t>HoTen</t>
  </si>
  <si>
    <t>ChucVu</t>
  </si>
  <si>
    <t>SDT</t>
  </si>
  <si>
    <t>Email</t>
  </si>
  <si>
    <t>TenBaiPhuTrach</t>
  </si>
  <si>
    <t>SoTaiKhoan</t>
  </si>
  <si>
    <t>NV001</t>
  </si>
  <si>
    <t>Nguyễn Hữu Trí</t>
  </si>
  <si>
    <t>Giám đốc điều hành</t>
  </si>
  <si>
    <t>0901000001</t>
  </si>
  <si>
    <t>tri.nguyen@smartparking.vn</t>
  </si>
  <si>
    <t>NV002</t>
  </si>
  <si>
    <t>Trần Văn Hùng</t>
  </si>
  <si>
    <t>Quản lý bãi</t>
  </si>
  <si>
    <t>0901000002</t>
  </si>
  <si>
    <t>hung.tran@smartparking.vn</t>
  </si>
  <si>
    <t>NV003</t>
  </si>
  <si>
    <t>Lê Thị Bích Ngọc</t>
  </si>
  <si>
    <t>0901000003</t>
  </si>
  <si>
    <t>ngoc.le@smartparking.vn</t>
  </si>
  <si>
    <t>NV004</t>
  </si>
  <si>
    <t>Hoàng Đình Nam</t>
  </si>
  <si>
    <t>0901000004</t>
  </si>
  <si>
    <t>nam.hoang@smartparking.vn</t>
  </si>
  <si>
    <t>NV005</t>
  </si>
  <si>
    <t>Phạm Văn Cường</t>
  </si>
  <si>
    <t>Bảo vệ</t>
  </si>
  <si>
    <t>0901000005</t>
  </si>
  <si>
    <t>cuong.pham@smartparking.vn</t>
  </si>
  <si>
    <t>NV006</t>
  </si>
  <si>
    <t>Đặng Minh Tuấn</t>
  </si>
  <si>
    <t>0901000006</t>
  </si>
  <si>
    <t>tuan.dang@smartparking.vn</t>
  </si>
  <si>
    <t>NV007</t>
  </si>
  <si>
    <t>Vũ Đức Thắng</t>
  </si>
  <si>
    <t>0901000007</t>
  </si>
  <si>
    <t>thang.vu@smartparking.vn</t>
  </si>
  <si>
    <t>NV008</t>
  </si>
  <si>
    <t>Huỳnh Quốc Bảo</t>
  </si>
  <si>
    <t>0901000008</t>
  </si>
  <si>
    <t>bao.huynh@smartparking.vn</t>
  </si>
  <si>
    <t>NV009</t>
  </si>
  <si>
    <t>Ngô Thị Thanh Hà</t>
  </si>
  <si>
    <t>0901000009</t>
  </si>
  <si>
    <t>ha.ngo@smartparking.vn</t>
  </si>
  <si>
    <t>NV010</t>
  </si>
  <si>
    <t>Trương Văn Lộc</t>
  </si>
  <si>
    <t>0901000010</t>
  </si>
  <si>
    <t>loc.truong@smartparking.vn</t>
  </si>
  <si>
    <t>NV011</t>
  </si>
  <si>
    <t>Bùi Thành Đạt</t>
  </si>
  <si>
    <t>0901000011</t>
  </si>
  <si>
    <t>dat.bui@smartparking.vn</t>
  </si>
  <si>
    <t>TenDangNhap</t>
  </si>
  <si>
    <t>MatKhauHash</t>
  </si>
  <si>
    <t>TrangThai</t>
  </si>
  <si>
    <t>MatKhauMau</t>
  </si>
  <si>
    <t>KetQuaDangNhap</t>
  </si>
  <si>
    <t>admin</t>
  </si>
  <si>
    <t>A36AEF5A11C4073FBE60314FC9DF530A9D5F986533594D1F5190742FF9E0E408</t>
  </si>
  <si>
    <t>Hoạt động</t>
  </si>
  <si>
    <t>Admin@2026</t>
  </si>
  <si>
    <t>quanly_q1</t>
  </si>
  <si>
    <t>8D969EEF6ECAD3C29A3A629280E686CF0C3F5D5A86AFF3CA12020C923ADC6C92</t>
  </si>
  <si>
    <t>123456</t>
  </si>
  <si>
    <t>quanly_q3</t>
  </si>
  <si>
    <t>quanly_bt</t>
  </si>
  <si>
    <t>baove_khoa</t>
  </si>
  <si>
    <t>Bị khóa</t>
  </si>
  <si>
    <t>baove_q1</t>
  </si>
  <si>
    <t>baove_q3</t>
  </si>
  <si>
    <t>baove_bt</t>
  </si>
  <si>
    <t>quanly_tb</t>
  </si>
  <si>
    <t>quanly_q7</t>
  </si>
  <si>
    <t>baove_tb</t>
  </si>
  <si>
    <t>baove_q7</t>
  </si>
  <si>
    <t>MaLoaiXe</t>
  </si>
  <si>
    <t>TenLoai</t>
  </si>
  <si>
    <t>DonGiaGio</t>
  </si>
  <si>
    <t>GiaVeThang</t>
  </si>
  <si>
    <t>SoO</t>
  </si>
  <si>
    <t>SoOTrong</t>
  </si>
  <si>
    <t>OT</t>
  </si>
  <si>
    <t>Ô tô 4-7 chỗ</t>
  </si>
  <si>
    <t>XD</t>
  </si>
  <si>
    <t>Xe đạp / Xe điện</t>
  </si>
  <si>
    <t>XM</t>
  </si>
  <si>
    <t>Xe máy</t>
  </si>
  <si>
    <t>MaViTri</t>
  </si>
  <si>
    <t>KhuVuc</t>
  </si>
  <si>
    <t>LuotDangMo</t>
  </si>
  <si>
    <t>BT_OT_01</t>
  </si>
  <si>
    <t>Hầm B2 - Zone A</t>
  </si>
  <si>
    <t>BT_OT_02</t>
  </si>
  <si>
    <t>BT_OT_03</t>
  </si>
  <si>
    <t>Hầm B2 - Zone B</t>
  </si>
  <si>
    <t>BT_OT_04</t>
  </si>
  <si>
    <t>BT_XD_01</t>
  </si>
  <si>
    <t>Hầm B1 - Zone E</t>
  </si>
  <si>
    <t>BT_XD_02</t>
  </si>
  <si>
    <t>BT_XM_01</t>
  </si>
  <si>
    <t>Hầm B1 - Zone 1</t>
  </si>
  <si>
    <t>BT_XM_02</t>
  </si>
  <si>
    <t>BT_XM_03</t>
  </si>
  <si>
    <t>Hầm B1 - Zone 2</t>
  </si>
  <si>
    <t>BT_XM_04</t>
  </si>
  <si>
    <t>BT_XM_05</t>
  </si>
  <si>
    <t>Hầm B1 - Zone 3</t>
  </si>
  <si>
    <t>BT_XM_06</t>
  </si>
  <si>
    <t>Q1_OT_01</t>
  </si>
  <si>
    <t>Khu B - Ngoài trời</t>
  </si>
  <si>
    <t>Q1_OT_02</t>
  </si>
  <si>
    <t>Q1_OT_03</t>
  </si>
  <si>
    <t>Khu B - Có mái che</t>
  </si>
  <si>
    <t>Q1_OT_04</t>
  </si>
  <si>
    <t>Q1_XD_01</t>
  </si>
  <si>
    <t>Khu C - Cửa vào</t>
  </si>
  <si>
    <t>Q1_XD_02</t>
  </si>
  <si>
    <t>Q1_XM_01</t>
  </si>
  <si>
    <t>Khu A - Tầng 1</t>
  </si>
  <si>
    <t>Q1_XM_02</t>
  </si>
  <si>
    <t>Q1_XM_03</t>
  </si>
  <si>
    <t>Q1_XM_04</t>
  </si>
  <si>
    <t>Q1_XM_05</t>
  </si>
  <si>
    <t>Khu A - Tầng 2</t>
  </si>
  <si>
    <t>Q1_XM_06</t>
  </si>
  <si>
    <t>Q3_OT_01</t>
  </si>
  <si>
    <t>Khu Ô tô Sân 1</t>
  </si>
  <si>
    <t>Q3_OT_02</t>
  </si>
  <si>
    <t>Q3_OT_03</t>
  </si>
  <si>
    <t>Khu Ô tô Sân 2</t>
  </si>
  <si>
    <t>Q3_XD_01</t>
  </si>
  <si>
    <t>Khu Xe đạp 1</t>
  </si>
  <si>
    <t>Q3_XD_02</t>
  </si>
  <si>
    <t>Khu Xe đạp 2</t>
  </si>
  <si>
    <t>Q3_XM_01</t>
  </si>
  <si>
    <t>Khu Máy A</t>
  </si>
  <si>
    <t>Q3_XM_02</t>
  </si>
  <si>
    <t>Q3_XM_03</t>
  </si>
  <si>
    <t>Q3_XM_04</t>
  </si>
  <si>
    <t>Khu Máy B</t>
  </si>
  <si>
    <t>Q3_XM_05</t>
  </si>
  <si>
    <t>Q7_OT_01</t>
  </si>
  <si>
    <t>Q7_OT_02</t>
  </si>
  <si>
    <t>Q7_OT_03</t>
  </si>
  <si>
    <t>Q7_OT_04</t>
  </si>
  <si>
    <t>Q7_OT_05</t>
  </si>
  <si>
    <t>Q7_XD_01</t>
  </si>
  <si>
    <t>Hầm B1 - Khu xe đạp</t>
  </si>
  <si>
    <t>Q7_XD_02</t>
  </si>
  <si>
    <t>Q7_XM_01</t>
  </si>
  <si>
    <t>Hầm B1 - Khu xe máy</t>
  </si>
  <si>
    <t>Q7_XM_02</t>
  </si>
  <si>
    <t>Q7_XM_03</t>
  </si>
  <si>
    <t>Q7_XM_04</t>
  </si>
  <si>
    <t>Q7_XM_05</t>
  </si>
  <si>
    <t>TB_OT_01</t>
  </si>
  <si>
    <t>Tầng 2 - Khu ô tô</t>
  </si>
  <si>
    <t>TB_OT_02</t>
  </si>
  <si>
    <t>TB_OT_03</t>
  </si>
  <si>
    <t>TB_OT_04</t>
  </si>
  <si>
    <t>Tầng 3 - Khu ô tô</t>
  </si>
  <si>
    <t>TB_OT_05</t>
  </si>
  <si>
    <t>TB_OT_06</t>
  </si>
  <si>
    <t>TB_XD_01</t>
  </si>
  <si>
    <t>Tầng 1 - Cổng vào</t>
  </si>
  <si>
    <t>TB_XD_02</t>
  </si>
  <si>
    <t>TB_XM_01</t>
  </si>
  <si>
    <t>Tầng 1 - Khu xe máy</t>
  </si>
  <si>
    <t>TB_XM_02</t>
  </si>
  <si>
    <t>TB_XM_03</t>
  </si>
  <si>
    <t>TB_XM_04</t>
  </si>
  <si>
    <t>TB_XM_05</t>
  </si>
  <si>
    <t>Tầng lửng - Xe máy</t>
  </si>
  <si>
    <t>TB_XM_06</t>
  </si>
  <si>
    <t>MaThe</t>
  </si>
  <si>
    <t>LoaiThe</t>
  </si>
  <si>
    <t>NgayCap</t>
  </si>
  <si>
    <t>NgayCapCoDinh</t>
  </si>
  <si>
    <t>NgayCapTruocNapNgay</t>
  </si>
  <si>
    <t>MaVe</t>
  </si>
  <si>
    <t>NgayHetHanVe</t>
  </si>
  <si>
    <t>TrangThaiVe</t>
  </si>
  <si>
    <t>MaBaiApDungVe</t>
  </si>
  <si>
    <t>KetQuaQuetCheckIn</t>
  </si>
  <si>
    <t>THE0001</t>
  </si>
  <si>
    <t>Lượt</t>
  </si>
  <si>
    <t>THE0002</t>
  </si>
  <si>
    <t>Tháng</t>
  </si>
  <si>
    <t>THE0003</t>
  </si>
  <si>
    <t>THE0004</t>
  </si>
  <si>
    <t>THE0005</t>
  </si>
  <si>
    <t>THE0006</t>
  </si>
  <si>
    <t>Mất</t>
  </si>
  <si>
    <t>THE0007</t>
  </si>
  <si>
    <t>THE0008</t>
  </si>
  <si>
    <t>THE0009</t>
  </si>
  <si>
    <t>THE0010</t>
  </si>
  <si>
    <t>THE0011</t>
  </si>
  <si>
    <t>THE0012</t>
  </si>
  <si>
    <t>THE0013</t>
  </si>
  <si>
    <t>THE0014</t>
  </si>
  <si>
    <t>THE0015</t>
  </si>
  <si>
    <t>THE0016</t>
  </si>
  <si>
    <t>THE0017</t>
  </si>
  <si>
    <t>THE0018</t>
  </si>
  <si>
    <t>THE0019</t>
  </si>
  <si>
    <t>THE0020</t>
  </si>
  <si>
    <t>THE0021</t>
  </si>
  <si>
    <t>THE0022</t>
  </si>
  <si>
    <t>THE0023</t>
  </si>
  <si>
    <t>THE0024</t>
  </si>
  <si>
    <t>THE0025</t>
  </si>
  <si>
    <t>MaKH</t>
  </si>
  <si>
    <t>CMND_CCCD</t>
  </si>
  <si>
    <t>SoVeThang</t>
  </si>
  <si>
    <t>KH0001</t>
  </si>
  <si>
    <t>Nguyễn Văn An</t>
  </si>
  <si>
    <t>0903112233</t>
  </si>
  <si>
    <t>nguyenvanan@gmail.com</t>
  </si>
  <si>
    <t>079090001111</t>
  </si>
  <si>
    <t>KH0002</t>
  </si>
  <si>
    <t>Trần Thị Mai</t>
  </si>
  <si>
    <t>0912445566</t>
  </si>
  <si>
    <t>tranmai.hcm@gmail.com</t>
  </si>
  <si>
    <t>079090002222</t>
  </si>
  <si>
    <t>KH0003</t>
  </si>
  <si>
    <t>Lê Hoàng Long</t>
  </si>
  <si>
    <t>0988776655</t>
  </si>
  <si>
    <t>long.lehoang@yahoo.com</t>
  </si>
  <si>
    <t>079090003333</t>
  </si>
  <si>
    <t>KH0004</t>
  </si>
  <si>
    <t>Phạm Thu Trang</t>
  </si>
  <si>
    <t>0934556677</t>
  </si>
  <si>
    <t>trangpham@outlook.com</t>
  </si>
  <si>
    <t>079090004444</t>
  </si>
  <si>
    <t>KH0005</t>
  </si>
  <si>
    <t>Võ Minh Quân</t>
  </si>
  <si>
    <t>0977112244</t>
  </si>
  <si>
    <t>quan.vominh@gmail.com</t>
  </si>
  <si>
    <t>079090005555</t>
  </si>
  <si>
    <t>KH0006</t>
  </si>
  <si>
    <t>Đỗ Thanh Phong</t>
  </si>
  <si>
    <t>0908246810</t>
  </si>
  <si>
    <t>phong.dothanh@gmail.com</t>
  </si>
  <si>
    <t>079090006666</t>
  </si>
  <si>
    <t>KH0007</t>
  </si>
  <si>
    <t>Lý Ngọc Hân</t>
  </si>
  <si>
    <t>0938135790</t>
  </si>
  <si>
    <t>han.lyngoc@gmail.com</t>
  </si>
  <si>
    <t>079090007777</t>
  </si>
  <si>
    <t>KH0008</t>
  </si>
  <si>
    <t>Châu Minh Khang</t>
  </si>
  <si>
    <t>0917258036</t>
  </si>
  <si>
    <t>khang.chau@outlook.com</t>
  </si>
  <si>
    <t>079090018888</t>
  </si>
  <si>
    <t>KH0009</t>
  </si>
  <si>
    <t>Tạ Thị Kim Oanh</t>
  </si>
  <si>
    <t>0966369147</t>
  </si>
  <si>
    <t>oanh.takim@yahoo.com</t>
  </si>
  <si>
    <t>079090009999</t>
  </si>
  <si>
    <t>KH0010</t>
  </si>
  <si>
    <t>Phan Gia Huy</t>
  </si>
  <si>
    <t>0945112233</t>
  </si>
  <si>
    <t>huy.phangia@gmail.com</t>
  </si>
  <si>
    <t>079090010101</t>
  </si>
  <si>
    <t>BienSo</t>
  </si>
  <si>
    <t>NgayDangKy</t>
  </si>
  <si>
    <t>NgayHetHan</t>
  </si>
  <si>
    <t>MaBaiApDung</t>
  </si>
  <si>
    <t>NgayDangKyCoDinh</t>
  </si>
  <si>
    <t>DangKyTruocNapNgay</t>
  </si>
  <si>
    <t>HoTenKhachHang</t>
  </si>
  <si>
    <t>TongSoThangDaDong</t>
  </si>
  <si>
    <t>SoNgayConLai</t>
  </si>
  <si>
    <t>HanhDongCursor</t>
  </si>
  <si>
    <t>TrongBaoCaoSapHetHan</t>
  </si>
  <si>
    <t>V0001</t>
  </si>
  <si>
    <t>59A-123.45</t>
  </si>
  <si>
    <t>V0002</t>
  </si>
  <si>
    <t>51G-888.99</t>
  </si>
  <si>
    <t>V0003</t>
  </si>
  <si>
    <t>59B-456.78</t>
  </si>
  <si>
    <t>Hết hạn</t>
  </si>
  <si>
    <t>V0004</t>
  </si>
  <si>
    <t>51H-999.11</t>
  </si>
  <si>
    <t>ALL</t>
  </si>
  <si>
    <t>V0005</t>
  </si>
  <si>
    <t>59C-678.90</t>
  </si>
  <si>
    <t>V0006</t>
  </si>
  <si>
    <t>51K-246.80</t>
  </si>
  <si>
    <t>V0007</t>
  </si>
  <si>
    <t>59P-357.91</t>
  </si>
  <si>
    <t>V0008</t>
  </si>
  <si>
    <t>59N-147.25</t>
  </si>
  <si>
    <t>V0009</t>
  </si>
  <si>
    <t>51L-802.46</t>
  </si>
  <si>
    <t>V0010</t>
  </si>
  <si>
    <t>51M-135.24</t>
  </si>
  <si>
    <t>MaHD</t>
  </si>
  <si>
    <t>NgayThanhToan</t>
  </si>
  <si>
    <t>SoThangGiaHan</t>
  </si>
  <si>
    <t>SoTien</t>
  </si>
  <si>
    <t>STT</t>
  </si>
  <si>
    <t>NgayThanhToanCoDinh</t>
  </si>
  <si>
    <t>ThanhToanTruocNapNgay</t>
  </si>
  <si>
    <t>MaBaiTinhGia</t>
  </si>
  <si>
    <t>DonGiaThang</t>
  </si>
  <si>
    <t>MocTinh</t>
  </si>
  <si>
    <t>HetHanSau</t>
  </si>
  <si>
    <t>MaLuot</t>
  </si>
  <si>
    <t>ThoiGianVao</t>
  </si>
  <si>
    <t>ThoiGianRa</t>
  </si>
  <si>
    <t>TienGui</t>
  </si>
  <si>
    <t>ThoiGianVaoCoDinh</t>
  </si>
  <si>
    <t>ThoiGianRaCoDinh</t>
  </si>
  <si>
    <t>VaoTruocNapPhut</t>
  </si>
  <si>
    <t>ThoiDiemTinhPhi</t>
  </si>
  <si>
    <t>SoPhut</t>
  </si>
  <si>
    <t>SoBlockGio</t>
  </si>
  <si>
    <t>TienTinh</t>
  </si>
  <si>
    <t>BienSoVeThang</t>
  </si>
  <si>
    <t>CanhBaoLechBienSo</t>
  </si>
  <si>
    <t>59A-111.22</t>
  </si>
  <si>
    <t>51G-222.33</t>
  </si>
  <si>
    <t>59B-333.44</t>
  </si>
  <si>
    <t>59C-444.55</t>
  </si>
  <si>
    <t>59D-234.56</t>
  </si>
  <si>
    <t>51F-135.79</t>
  </si>
  <si>
    <t>59T-111.22</t>
  </si>
  <si>
    <t>51H-246.13</t>
  </si>
  <si>
    <t>59K-987.65</t>
  </si>
  <si>
    <t>59E-555.66</t>
  </si>
  <si>
    <t>51A-777.88</t>
  </si>
  <si>
    <t>59D-678.12</t>
  </si>
  <si>
    <t>51G-468.02</t>
  </si>
  <si>
    <t>59T-579.13</t>
  </si>
  <si>
    <t>MaSuCo</t>
  </si>
  <si>
    <t>ThoiGianSuCo</t>
  </si>
  <si>
    <t>MoTa</t>
  </si>
  <si>
    <t>TienPhat</t>
  </si>
  <si>
    <t>TrangThaiXuLy</t>
  </si>
  <si>
    <t>TienPhatKhac</t>
  </si>
  <si>
    <t>LaMatThe</t>
  </si>
  <si>
    <t>TrangThaiTheHienTai</t>
  </si>
  <si>
    <t>59X-999.01</t>
  </si>
  <si>
    <t>Khách hàng làm rơi thẻ xe tại quầy nước, lập biên bản báo mất thẻ chip</t>
  </si>
  <si>
    <t>Đã giải quyết</t>
  </si>
  <si>
    <t>51B-123.45</t>
  </si>
  <si>
    <t>Va quẹt nhẹ gương chiếu hậu khi lùi xe vào ô đỗ Q3_OT_01</t>
  </si>
  <si>
    <t>Ô tô cọ quẹt trụ bê tông tại dốc lên Tầng 3, trầy sơn hông xe, đang chờ đối chiếu camera</t>
  </si>
  <si>
    <t>Đang giải quyết</t>
  </si>
  <si>
    <t>Khách hàng báo mất thẻ chip THE0025 (Loại: Lượt). Hệ thống tự động khóa thẻ và áp phí phạt đền bù thẻ vật lý.</t>
  </si>
  <si>
    <t>TyLeLapDayPercent</t>
  </si>
  <si>
    <t>XepHang</t>
  </si>
  <si>
    <t>File này là nguồn chuẩn của dữ liệu mẫu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</si>
</sst>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hh:mm:ss"/>
    <numFmt numFmtId="165" formatCode="#,##0&quot; ₫&quot;;\-#,##0&quot; ₫&quot;;\-"/>
    <numFmt numFmtId="166" formatCode="dd/mm/yyyy"/>
    <numFmt numFmtId="167" formatCode="000"/>
  </numFmts>
  <fonts count="11" x14ac:knownFonts="1">
    <font>
      <sz val="11"/>
      <color rgb="FF000000"/>
      <name val="Calibri"/>
      <family val="2"/>
      <charset val="1"/>
    </font>
    <font>
      <sz val="10"/>
      <name val="Arial"/>
      <family val="2"/>
    </font>
    <font>
      <b/>
      <sz val="14"/>
      <name val="Arial"/>
      <family val="2"/>
    </font>
    <font>
      <sz val="10"/>
      <name val="Arial"/>
      <family val="2"/>
    </font>
    <font>
      <b/>
      <sz val="10"/>
      <name val="Arial"/>
      <family val="2"/>
    </font>
    <font>
      <b/>
      <sz val="11"/>
      <color rgb="FFFFFFFF"/>
      <name val="Arial"/>
      <family val="2"/>
    </font>
    <font>
      <b/>
      <sz val="11"/>
      <name val="Arial"/>
      <family val="2"/>
    </font>
    <font>
      <sz val="11"/>
      <color rgb="FF0000FF"/>
      <name val="Arial"/>
      <family val="2"/>
    </font>
    <font>
      <sz val="11"/>
      <name val="Arial"/>
      <family val="2"/>
    </font>
    <font>
      <sz val="11"/>
      <color rgb="FF000000"/>
      <name val="Arial"/>
      <family val="2"/>
    </font>
    <font>
      <sz val="11"/>
      <color rgb="FF008000"/>
      <name val="Arial"/>
      <family val="2"/>
    </font>
  </fonts>
  <fills count="7">
    <fill>
      <patternFill patternType="none"/>
    </fill>
    <fill>
      <patternFill patternType="gray125"/>
    </fill>
    <fill>
      <patternFill patternType="solid">
        <fgColor rgb="FF1F4E78"/>
        <bgColor rgb="FF003366"/>
      </patternFill>
    </fill>
    <fill>
      <patternFill patternType="solid">
        <fgColor rgb="FFFFFF00"/>
        <bgColor rgb="FFFFFF00"/>
      </patternFill>
    </fill>
    <fill>
      <patternFill patternType="solid">
        <fgColor rgb="FF548235"/>
        <bgColor rgb="FF339966"/>
      </patternFill>
    </fill>
    <fill>
      <patternFill patternType="solid">
        <fgColor rgb="FFC55A11"/>
        <bgColor rgb="FF993300"/>
      </patternFill>
    </fill>
    <fill>
      <patternFill patternType="solid">
        <fgColor rgb="FF2E75B6"/>
        <bgColor rgb="FF0066CC"/>
      </patternFill>
    </fill>
  </fills>
  <borders count="1">
    <border>
      <left/>
      <right/>
      <top/>
      <bottom/>
      <diagonal/>
    </border>
  </borders>
  <cellStyleXfs count="1">
    <xf numFmtId="0" fontId="0" fillId="0" borderId="0"/>
  </cellStyleXfs>
  <cellXfs count="32">
    <xf numFmtId="0" fontId="0" fillId="0" borderId="0" xfId="0"/>
    <xf numFmtId="0" fontId="2" fillId="0" borderId="0" xfId="0" applyFont="1"/>
    <xf numFmtId="0" fontId="3" fillId="0" borderId="0" xfId="0" applyFont="1"/>
    <xf numFmtId="0" fontId="4" fillId="0" borderId="0" xfId="0" applyFont="1"/>
    <xf numFmtId="0" fontId="5" fillId="2" borderId="0" xfId="0" applyFont="1" applyFill="1"/>
    <xf numFmtId="0" fontId="6" fillId="0" borderId="0" xfId="0" applyFont="1"/>
    <xf numFmtId="164" fontId="7" fillId="0" borderId="0" xfId="0" applyNumberFormat="1" applyFont="1"/>
    <xf numFmtId="0" fontId="8" fillId="0" borderId="0" xfId="0" applyFont="1"/>
    <xf numFmtId="164" fontId="9" fillId="3" borderId="0" xfId="0" applyNumberFormat="1" applyFont="1" applyFill="1"/>
    <xf numFmtId="1" fontId="7" fillId="0" borderId="0" xfId="0" applyNumberFormat="1" applyFont="1"/>
    <xf numFmtId="165" fontId="7" fillId="0" borderId="0" xfId="0" applyNumberFormat="1" applyFont="1"/>
    <xf numFmtId="0" fontId="5" fillId="4" borderId="0" xfId="0" applyFont="1" applyFill="1"/>
    <xf numFmtId="0" fontId="9" fillId="0" borderId="0" xfId="0" applyFont="1"/>
    <xf numFmtId="0" fontId="5" fillId="2" borderId="0" xfId="0" applyFont="1" applyFill="1" applyAlignment="1">
      <alignment horizontal="center" vertical="center" wrapText="1"/>
    </xf>
    <xf numFmtId="0" fontId="5" fillId="5" borderId="0" xfId="0" applyFont="1" applyFill="1" applyAlignment="1">
      <alignment horizontal="center" vertical="center" wrapText="1"/>
    </xf>
    <xf numFmtId="0" fontId="5" fillId="4" borderId="0" xfId="0" applyFont="1" applyFill="1" applyAlignment="1">
      <alignment horizontal="center" vertical="center" wrapText="1"/>
    </xf>
    <xf numFmtId="0" fontId="7" fillId="0" borderId="0" xfId="0" applyFont="1"/>
    <xf numFmtId="1" fontId="9" fillId="0" borderId="0" xfId="0" applyNumberFormat="1" applyFont="1"/>
    <xf numFmtId="10" fontId="9" fillId="0" borderId="0" xfId="0" applyNumberFormat="1" applyFont="1"/>
    <xf numFmtId="165" fontId="9" fillId="0" borderId="0" xfId="0" applyNumberFormat="1" applyFont="1"/>
    <xf numFmtId="0" fontId="5" fillId="6" borderId="0" xfId="0" applyFont="1" applyFill="1" applyAlignment="1">
      <alignment horizontal="center" vertical="center" wrapText="1"/>
    </xf>
    <xf numFmtId="166" fontId="9" fillId="0" borderId="0" xfId="0" applyNumberFormat="1" applyFont="1"/>
    <xf numFmtId="166" fontId="7" fillId="0" borderId="0" xfId="0" applyNumberFormat="1" applyFont="1"/>
    <xf numFmtId="164" fontId="9" fillId="0" borderId="0" xfId="0" applyNumberFormat="1" applyFont="1"/>
    <xf numFmtId="167" fontId="7" fillId="0" borderId="0" xfId="0" applyNumberFormat="1" applyFont="1"/>
    <xf numFmtId="0" fontId="10" fillId="0" borderId="0" xfId="0" applyFont="1"/>
    <xf numFmtId="1" fontId="10" fillId="0" borderId="0" xfId="0" applyNumberFormat="1" applyFont="1"/>
    <xf numFmtId="2" fontId="9" fillId="0" borderId="0" xfId="0" applyNumberFormat="1" applyFont="1"/>
    <xf numFmtId="165" fontId="10" fillId="0" borderId="0" xfId="0" applyNumberFormat="1" applyFont="1"/>
    <xf numFmtId="166" fontId="10" fillId="0" borderId="0" xfId="0" applyNumberFormat="1" applyFont="1"/>
    <xf numFmtId="0" fontId="1" fillId="0" borderId="0" xfId="0" applyFont="1"/>
    <xf numFmtId="0" fontId="8" fillId="0" borderId="0" xfId="0" applyFont="1" applyAlignment="1">
      <alignment wrapText="1"/>
    </xf>
  </cellXfs>
  <cellStyles count="1">
    <cellStyle name="Normal" xfId="0" builtinId="0"/>
  </cellStyles>
  <dxfs count="24">
    <dxf>
      <fill>
        <patternFill>
          <bgColor rgb="FFC6EFCE"/>
        </patternFill>
      </fill>
    </dxf>
    <dxf>
      <fill>
        <patternFill>
          <bgColor rgb="FFF8CBAD"/>
        </patternFill>
      </fill>
    </dxf>
    <dxf>
      <fill>
        <patternFill>
          <bgColor rgb="FFC6EFCE"/>
        </patternFill>
      </fill>
    </dxf>
    <dxf>
      <fill>
        <patternFill>
          <bgColor rgb="FFF8CBAD"/>
        </patternFill>
      </fill>
    </dxf>
    <dxf>
      <fill>
        <patternFill>
          <bgColor rgb="FFC6EFCE"/>
        </patternFill>
      </fill>
    </dxf>
    <dxf>
      <fill>
        <patternFill>
          <bgColor rgb="FFF8CBAD"/>
        </patternFill>
      </fill>
    </dxf>
    <dxf>
      <fill>
        <patternFill>
          <bgColor rgb="FFC6EFCE"/>
        </patternFill>
      </fill>
    </dxf>
    <dxf>
      <fill>
        <patternFill>
          <bgColor rgb="FFF8CBAD"/>
        </patternFill>
      </fill>
    </dxf>
    <dxf>
      <fill>
        <patternFill>
          <bgColor rgb="FFC6EFCE"/>
        </patternFill>
      </fill>
    </dxf>
    <dxf>
      <fill>
        <patternFill>
          <bgColor rgb="FFF8CBAD"/>
        </patternFill>
      </fill>
    </dxf>
    <dxf>
      <fill>
        <patternFill>
          <bgColor rgb="FFC6EFCE"/>
        </patternFill>
      </fill>
    </dxf>
    <dxf>
      <fill>
        <patternFill>
          <bgColor rgb="FFF8CBAD"/>
        </patternFill>
      </fill>
    </dxf>
    <dxf>
      <fill>
        <patternFill>
          <bgColor rgb="FFC6EFCE"/>
        </patternFill>
      </fill>
    </dxf>
    <dxf>
      <fill>
        <patternFill>
          <bgColor rgb="FFF8CBAD"/>
        </patternFill>
      </fill>
    </dxf>
    <dxf>
      <fill>
        <patternFill>
          <bgColor rgb="FFC6EFCE"/>
        </patternFill>
      </fill>
    </dxf>
    <dxf>
      <fill>
        <patternFill>
          <bgColor rgb="FFF8CBAD"/>
        </patternFill>
      </fill>
    </dxf>
    <dxf>
      <fill>
        <patternFill>
          <bgColor rgb="FFC6EFCE"/>
        </patternFill>
      </fill>
    </dxf>
    <dxf>
      <fill>
        <patternFill>
          <bgColor rgb="FFF8CBAD"/>
        </patternFill>
      </fill>
    </dxf>
    <dxf>
      <fill>
        <patternFill>
          <bgColor rgb="FFC6EFCE"/>
        </patternFill>
      </fill>
    </dxf>
    <dxf>
      <fill>
        <patternFill>
          <bgColor rgb="FFF8CBAD"/>
        </patternFill>
      </fill>
    </dxf>
    <dxf>
      <fill>
        <patternFill>
          <bgColor rgb="FFC6EFCE"/>
        </patternFill>
      </fill>
    </dxf>
    <dxf>
      <fill>
        <patternFill>
          <bgColor rgb="FFF8CBAD"/>
        </patternFill>
      </fill>
    </dxf>
    <dxf>
      <fill>
        <patternFill>
          <bgColor rgb="FFC6EFCE"/>
        </patternFill>
      </fill>
    </dxf>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8CBAD"/>
      <rgbColor rgb="FF2E75B6"/>
      <rgbColor rgb="FF33CCCC"/>
      <rgbColor rgb="FF99CC00"/>
      <rgbColor rgb="FFFFCC00"/>
      <rgbColor rgb="FFFF9900"/>
      <rgbColor rgb="FFC55A11"/>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zoomScale="140" zoomScaleNormal="140" workbookViewId="0">
      <selection activeCell="A23" sqref="A23"/>
    </sheetView>
  </sheetViews>
  <sheetFormatPr baseColWidth="10" defaultColWidth="8.5" defaultRowHeight="15" x14ac:dyDescent="0.2"/>
  <cols>
    <col min="1" max="1" width="160" customWidth="1"/>
  </cols>
  <sheetData>
    <row r="1" spans="1:1" ht="18" x14ac:dyDescent="0.2">
      <c r="A1" s="1" t="s">
        <v>0</v>
      </c>
    </row>
    <row r="2" spans="1:1" x14ac:dyDescent="0.2">
      <c r="A2" s="30" t="s">
        <v>553</v>
      </c>
    </row>
    <row r="3" spans="1:1" x14ac:dyDescent="0.2">
      <c r="A3" s="2" t="s">
        <v>1</v>
      </c>
    </row>
    <row r="4" spans="1:1" x14ac:dyDescent="0.2">
      <c r="A4" s="2"/>
    </row>
    <row r="5" spans="1:1" x14ac:dyDescent="0.2">
      <c r="A5" s="3" t="s">
        <v>2</v>
      </c>
    </row>
    <row r="6" spans="1:1" x14ac:dyDescent="0.2">
      <c r="A6" s="2" t="s">
        <v>3</v>
      </c>
    </row>
    <row r="7" spans="1:1" x14ac:dyDescent="0.2">
      <c r="A7" s="2" t="s">
        <v>4</v>
      </c>
    </row>
    <row r="8" spans="1:1" x14ac:dyDescent="0.2">
      <c r="A8" s="2" t="s">
        <v>5</v>
      </c>
    </row>
    <row r="9" spans="1:1" x14ac:dyDescent="0.2">
      <c r="A9" s="2"/>
    </row>
    <row r="10" spans="1:1" x14ac:dyDescent="0.2">
      <c r="A10" s="3" t="s">
        <v>6</v>
      </c>
    </row>
    <row r="11" spans="1:1" x14ac:dyDescent="0.2">
      <c r="A11" s="2" t="s">
        <v>7</v>
      </c>
    </row>
    <row r="12" spans="1:1" x14ac:dyDescent="0.2">
      <c r="A12" s="2" t="s">
        <v>8</v>
      </c>
    </row>
    <row r="13" spans="1:1" x14ac:dyDescent="0.2">
      <c r="A13" s="2" t="s">
        <v>9</v>
      </c>
    </row>
    <row r="14" spans="1:1" x14ac:dyDescent="0.2">
      <c r="A14" s="2"/>
    </row>
    <row r="15" spans="1:1" x14ac:dyDescent="0.2">
      <c r="A15" s="3" t="s">
        <v>10</v>
      </c>
    </row>
    <row r="16" spans="1:1" x14ac:dyDescent="0.2">
      <c r="A16" s="2" t="s">
        <v>11</v>
      </c>
    </row>
    <row r="17" spans="1:1" x14ac:dyDescent="0.2">
      <c r="A17" s="2" t="s">
        <v>12</v>
      </c>
    </row>
    <row r="18" spans="1:1" x14ac:dyDescent="0.2">
      <c r="A18" s="2"/>
    </row>
    <row r="19" spans="1:1" x14ac:dyDescent="0.2">
      <c r="A19" s="3" t="s">
        <v>13</v>
      </c>
    </row>
    <row r="20" spans="1:1" x14ac:dyDescent="0.2">
      <c r="A20" s="2" t="s">
        <v>14</v>
      </c>
    </row>
    <row r="21" spans="1:1" x14ac:dyDescent="0.2">
      <c r="A21" s="2" t="s">
        <v>15</v>
      </c>
    </row>
    <row r="22" spans="1:1" x14ac:dyDescent="0.2">
      <c r="A22" s="2" t="s">
        <v>16</v>
      </c>
    </row>
    <row r="23" spans="1:1" x14ac:dyDescent="0.2">
      <c r="A23" s="2" t="s">
        <v>17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zoomScale="130" zoomScaleNormal="130" workbookViewId="0">
      <pane ySplit="1" topLeftCell="A2" activePane="bottomLeft" state="frozen"/>
      <selection pane="bottomLeft" activeCell="D23" sqref="D23"/>
    </sheetView>
  </sheetViews>
  <sheetFormatPr baseColWidth="10" defaultColWidth="8.5" defaultRowHeight="15" x14ac:dyDescent="0.2"/>
  <cols>
    <col min="1" max="1" width="24" customWidth="1"/>
    <col min="2" max="2" width="22" customWidth="1"/>
    <col min="3" max="3" width="34" customWidth="1"/>
    <col min="4" max="4" width="110" customWidth="1"/>
  </cols>
  <sheetData>
    <row r="1" spans="1:4" x14ac:dyDescent="0.2">
      <c r="A1" s="4" t="s">
        <v>18</v>
      </c>
      <c r="B1" s="4" t="s">
        <v>19</v>
      </c>
      <c r="C1" s="4" t="s">
        <v>20</v>
      </c>
      <c r="D1" s="4" t="s">
        <v>21</v>
      </c>
    </row>
    <row r="2" spans="1:4" ht="31" x14ac:dyDescent="0.2">
      <c r="A2" s="5" t="s">
        <v>22</v>
      </c>
      <c r="B2" s="6">
        <v>46296.451180057898</v>
      </c>
      <c r="C2" s="7" t="s">
        <v>23</v>
      </c>
      <c r="D2" s="31" t="s">
        <v>24</v>
      </c>
    </row>
    <row r="3" spans="1:4" ht="31" x14ac:dyDescent="0.2">
      <c r="A3" s="5" t="s">
        <v>25</v>
      </c>
      <c r="B3" s="8">
        <f>ThoiDiemNap</f>
        <v>46296.451180057898</v>
      </c>
      <c r="C3" s="7" t="s">
        <v>26</v>
      </c>
      <c r="D3" s="31" t="s">
        <v>27</v>
      </c>
    </row>
    <row r="4" spans="1:4" x14ac:dyDescent="0.2">
      <c r="A4" s="5" t="s">
        <v>28</v>
      </c>
      <c r="B4" s="9">
        <v>7</v>
      </c>
      <c r="C4" s="7" t="s">
        <v>29</v>
      </c>
      <c r="D4" s="7" t="s">
        <v>30</v>
      </c>
    </row>
    <row r="5" spans="1:4" x14ac:dyDescent="0.2">
      <c r="A5" s="5" t="s">
        <v>31</v>
      </c>
      <c r="B5" s="9">
        <v>15</v>
      </c>
      <c r="C5" s="7" t="s">
        <v>32</v>
      </c>
      <c r="D5" s="7" t="s">
        <v>33</v>
      </c>
    </row>
    <row r="6" spans="1:4" x14ac:dyDescent="0.2">
      <c r="A6" s="5" t="s">
        <v>34</v>
      </c>
      <c r="B6" s="9">
        <v>60</v>
      </c>
      <c r="C6" s="7" t="s">
        <v>32</v>
      </c>
      <c r="D6" s="7" t="s">
        <v>35</v>
      </c>
    </row>
    <row r="7" spans="1:4" x14ac:dyDescent="0.2">
      <c r="A7" s="5" t="s">
        <v>36</v>
      </c>
      <c r="B7" s="9">
        <v>3</v>
      </c>
      <c r="C7" s="7" t="s">
        <v>37</v>
      </c>
      <c r="D7" s="7" t="s">
        <v>38</v>
      </c>
    </row>
    <row r="8" spans="1:4" x14ac:dyDescent="0.2">
      <c r="A8" s="5" t="s">
        <v>39</v>
      </c>
      <c r="B8" s="9">
        <v>7</v>
      </c>
      <c r="C8" s="7" t="s">
        <v>40</v>
      </c>
      <c r="D8" s="7" t="s">
        <v>41</v>
      </c>
    </row>
    <row r="9" spans="1:4" x14ac:dyDescent="0.2">
      <c r="A9" s="5" t="s">
        <v>42</v>
      </c>
      <c r="B9" s="10">
        <v>50000</v>
      </c>
      <c r="C9" s="7" t="s">
        <v>43</v>
      </c>
      <c r="D9" s="7" t="s">
        <v>44</v>
      </c>
    </row>
    <row r="10" spans="1:4" x14ac:dyDescent="0.2">
      <c r="A10" s="5" t="s">
        <v>45</v>
      </c>
      <c r="B10" s="10">
        <v>10000000</v>
      </c>
      <c r="C10" s="7" t="s">
        <v>46</v>
      </c>
      <c r="D10" s="7" t="s">
        <v>47</v>
      </c>
    </row>
    <row r="11" spans="1:4" x14ac:dyDescent="0.2">
      <c r="A11" s="5" t="s">
        <v>48</v>
      </c>
      <c r="B11" s="10">
        <v>2000000</v>
      </c>
      <c r="C11" s="7" t="s">
        <v>46</v>
      </c>
      <c r="D11" s="7" t="s">
        <v>49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5"/>
  <sheetViews>
    <sheetView zoomScaleNormal="100" workbookViewId="0">
      <pane ySplit="1" topLeftCell="A40" activePane="bottomLeft" state="frozen"/>
      <selection pane="bottomLeft" activeCell="E2" sqref="E2"/>
    </sheetView>
  </sheetViews>
  <sheetFormatPr baseColWidth="10" defaultColWidth="8.5" defaultRowHeight="15" x14ac:dyDescent="0.2"/>
  <cols>
    <col min="1" max="1" width="20" customWidth="1"/>
    <col min="2" max="2" width="26" customWidth="1"/>
    <col min="3" max="3" width="100" customWidth="1"/>
    <col min="4" max="4" width="14" customWidth="1"/>
    <col min="5" max="5" width="12" customWidth="1"/>
  </cols>
  <sheetData>
    <row r="1" spans="1:5" x14ac:dyDescent="0.2">
      <c r="A1" s="11" t="s">
        <v>50</v>
      </c>
      <c r="B1" s="11" t="s">
        <v>51</v>
      </c>
      <c r="C1" s="11" t="s">
        <v>52</v>
      </c>
      <c r="D1" s="11" t="s">
        <v>53</v>
      </c>
      <c r="E1" s="11" t="s">
        <v>54</v>
      </c>
    </row>
    <row r="2" spans="1:5" x14ac:dyDescent="0.2">
      <c r="A2" s="7" t="s">
        <v>55</v>
      </c>
      <c r="B2" s="7" t="s">
        <v>56</v>
      </c>
      <c r="C2" s="7" t="s">
        <v>57</v>
      </c>
      <c r="D2" s="12">
        <f>COUNTIF(BAI_DO_XE!$M$2:$M$1000,"LỆCH")</f>
        <v>0</v>
      </c>
      <c r="E2" s="12" t="str">
        <f t="shared" ref="E2:E33" si="0">IF(D2=0,"ĐẠT","LỆCH")</f>
        <v>ĐẠT</v>
      </c>
    </row>
    <row r="3" spans="1:5" x14ac:dyDescent="0.2">
      <c r="A3" s="7" t="s">
        <v>55</v>
      </c>
      <c r="B3" s="7" t="s">
        <v>58</v>
      </c>
      <c r="C3" s="7" t="s">
        <v>59</v>
      </c>
      <c r="D3" s="12">
        <f>COUNTIF(BAI_DO_XE!$N$2:$N$1000,"LỆCH")</f>
        <v>0</v>
      </c>
      <c r="E3" s="12" t="str">
        <f t="shared" si="0"/>
        <v>ĐẠT</v>
      </c>
    </row>
    <row r="4" spans="1:5" x14ac:dyDescent="0.2">
      <c r="A4" s="7" t="s">
        <v>55</v>
      </c>
      <c r="B4" s="7" t="s">
        <v>60</v>
      </c>
      <c r="C4" s="7" t="s">
        <v>61</v>
      </c>
      <c r="D4" s="12">
        <f>COUNTIF(BAI_DO_XE!$O$2:$O$1000,"LỆCH")</f>
        <v>0</v>
      </c>
      <c r="E4" s="12" t="str">
        <f t="shared" si="0"/>
        <v>ĐẠT</v>
      </c>
    </row>
    <row r="5" spans="1:5" x14ac:dyDescent="0.2">
      <c r="A5" s="7" t="s">
        <v>55</v>
      </c>
      <c r="B5" s="7" t="s">
        <v>62</v>
      </c>
      <c r="C5" s="7" t="s">
        <v>63</v>
      </c>
      <c r="D5" s="12">
        <f>COUNTIF(BAI_DO_XE!$P$2:$P$1000,"LỆCH")</f>
        <v>0</v>
      </c>
      <c r="E5" s="12" t="str">
        <f t="shared" si="0"/>
        <v>ĐẠT</v>
      </c>
    </row>
    <row r="6" spans="1:5" x14ac:dyDescent="0.2">
      <c r="A6" s="7" t="s">
        <v>55</v>
      </c>
      <c r="B6" s="7" t="s">
        <v>64</v>
      </c>
      <c r="C6" s="7" t="s">
        <v>65</v>
      </c>
      <c r="D6" s="12">
        <f>COUNTIF(BAI_DO_XE!$Q$2:$Q$1000,"LỆCH")</f>
        <v>0</v>
      </c>
      <c r="E6" s="12" t="str">
        <f t="shared" si="0"/>
        <v>ĐẠT</v>
      </c>
    </row>
    <row r="7" spans="1:5" x14ac:dyDescent="0.2">
      <c r="A7" s="7" t="s">
        <v>66</v>
      </c>
      <c r="B7" s="7" t="s">
        <v>56</v>
      </c>
      <c r="C7" s="7" t="s">
        <v>67</v>
      </c>
      <c r="D7" s="12">
        <f>COUNTIF(NHAN_VIEN!$I$2:$I$1000,"LỆCH")</f>
        <v>0</v>
      </c>
      <c r="E7" s="12" t="str">
        <f t="shared" si="0"/>
        <v>ĐẠT</v>
      </c>
    </row>
    <row r="8" spans="1:5" x14ac:dyDescent="0.2">
      <c r="A8" s="7" t="s">
        <v>66</v>
      </c>
      <c r="B8" s="7" t="s">
        <v>60</v>
      </c>
      <c r="C8" s="7" t="s">
        <v>68</v>
      </c>
      <c r="D8" s="12">
        <f>COUNTIF(NHAN_VIEN!$J$2:$J$1000,"LỆCH")</f>
        <v>0</v>
      </c>
      <c r="E8" s="12" t="str">
        <f t="shared" si="0"/>
        <v>ĐẠT</v>
      </c>
    </row>
    <row r="9" spans="1:5" x14ac:dyDescent="0.2">
      <c r="A9" s="7" t="s">
        <v>66</v>
      </c>
      <c r="B9" s="7" t="s">
        <v>69</v>
      </c>
      <c r="C9" s="7" t="s">
        <v>70</v>
      </c>
      <c r="D9" s="12">
        <f>COUNTIF(NHAN_VIEN!$K$2:$K$1000,"LỆCH")</f>
        <v>0</v>
      </c>
      <c r="E9" s="12" t="str">
        <f t="shared" si="0"/>
        <v>ĐẠT</v>
      </c>
    </row>
    <row r="10" spans="1:5" x14ac:dyDescent="0.2">
      <c r="A10" s="7" t="s">
        <v>66</v>
      </c>
      <c r="B10" s="7" t="s">
        <v>71</v>
      </c>
      <c r="C10" s="7" t="s">
        <v>72</v>
      </c>
      <c r="D10" s="12">
        <f>COUNTIF(NHAN_VIEN!$L$2:$L$1000,"LỆCH")</f>
        <v>0</v>
      </c>
      <c r="E10" s="12" t="str">
        <f t="shared" si="0"/>
        <v>ĐẠT</v>
      </c>
    </row>
    <row r="11" spans="1:5" x14ac:dyDescent="0.2">
      <c r="A11" s="7" t="s">
        <v>66</v>
      </c>
      <c r="B11" s="7" t="s">
        <v>73</v>
      </c>
      <c r="C11" s="7" t="s">
        <v>74</v>
      </c>
      <c r="D11" s="12">
        <f>COUNTIF(NHAN_VIEN!$M$2:$M$1000,"LỆCH")</f>
        <v>0</v>
      </c>
      <c r="E11" s="12" t="str">
        <f t="shared" si="0"/>
        <v>ĐẠT</v>
      </c>
    </row>
    <row r="12" spans="1:5" x14ac:dyDescent="0.2">
      <c r="A12" s="7" t="s">
        <v>66</v>
      </c>
      <c r="B12" s="7" t="s">
        <v>75</v>
      </c>
      <c r="C12" s="7" t="s">
        <v>76</v>
      </c>
      <c r="D12" s="12">
        <f>COUNTIF(NHAN_VIEN!$N$2:$N$1000,"LỆCH")</f>
        <v>0</v>
      </c>
      <c r="E12" s="12" t="str">
        <f t="shared" si="0"/>
        <v>ĐẠT</v>
      </c>
    </row>
    <row r="13" spans="1:5" x14ac:dyDescent="0.2">
      <c r="A13" s="7" t="s">
        <v>77</v>
      </c>
      <c r="B13" s="7" t="s">
        <v>56</v>
      </c>
      <c r="C13" s="7" t="s">
        <v>78</v>
      </c>
      <c r="D13" s="12">
        <f>COUNTIF(TAI_KHOAN!$I$2:$I$1000,"LỆCH")</f>
        <v>0</v>
      </c>
      <c r="E13" s="12" t="str">
        <f t="shared" si="0"/>
        <v>ĐẠT</v>
      </c>
    </row>
    <row r="14" spans="1:5" x14ac:dyDescent="0.2">
      <c r="A14" s="7" t="s">
        <v>77</v>
      </c>
      <c r="B14" s="7" t="s">
        <v>79</v>
      </c>
      <c r="C14" s="7" t="s">
        <v>80</v>
      </c>
      <c r="D14" s="12">
        <f>COUNTIF(TAI_KHOAN!$J$2:$J$1000,"LỆCH")</f>
        <v>0</v>
      </c>
      <c r="E14" s="12" t="str">
        <f t="shared" si="0"/>
        <v>ĐẠT</v>
      </c>
    </row>
    <row r="15" spans="1:5" x14ac:dyDescent="0.2">
      <c r="A15" s="7" t="s">
        <v>77</v>
      </c>
      <c r="B15" s="7" t="s">
        <v>81</v>
      </c>
      <c r="C15" s="7" t="s">
        <v>82</v>
      </c>
      <c r="D15" s="12">
        <f>COUNTIF(TAI_KHOAN!$K$2:$K$1000,"LỆCH")</f>
        <v>0</v>
      </c>
      <c r="E15" s="12" t="str">
        <f t="shared" si="0"/>
        <v>ĐẠT</v>
      </c>
    </row>
    <row r="16" spans="1:5" x14ac:dyDescent="0.2">
      <c r="A16" s="7" t="s">
        <v>83</v>
      </c>
      <c r="B16" s="7" t="s">
        <v>56</v>
      </c>
      <c r="C16" s="7" t="s">
        <v>84</v>
      </c>
      <c r="D16" s="12">
        <f>COUNTIF(LOAI_XE!$I$2:$I$1000,"LỆCH")</f>
        <v>0</v>
      </c>
      <c r="E16" s="12" t="str">
        <f t="shared" si="0"/>
        <v>ĐẠT</v>
      </c>
    </row>
    <row r="17" spans="1:5" x14ac:dyDescent="0.2">
      <c r="A17" s="7" t="s">
        <v>83</v>
      </c>
      <c r="B17" s="7" t="s">
        <v>73</v>
      </c>
      <c r="C17" s="7" t="s">
        <v>85</v>
      </c>
      <c r="D17" s="12">
        <f>COUNTIF(LOAI_XE!$J$2:$J$1000,"LỆCH")</f>
        <v>0</v>
      </c>
      <c r="E17" s="12" t="str">
        <f t="shared" si="0"/>
        <v>ĐẠT</v>
      </c>
    </row>
    <row r="18" spans="1:5" x14ac:dyDescent="0.2">
      <c r="A18" s="7" t="s">
        <v>83</v>
      </c>
      <c r="B18" s="7" t="s">
        <v>86</v>
      </c>
      <c r="C18" s="7" t="s">
        <v>87</v>
      </c>
      <c r="D18" s="12">
        <f>COUNTIF(LOAI_XE!$K$2:$K$1000,"LỆCH")</f>
        <v>0</v>
      </c>
      <c r="E18" s="12" t="str">
        <f t="shared" si="0"/>
        <v>ĐẠT</v>
      </c>
    </row>
    <row r="19" spans="1:5" x14ac:dyDescent="0.2">
      <c r="A19" s="7" t="s">
        <v>88</v>
      </c>
      <c r="B19" s="7" t="s">
        <v>56</v>
      </c>
      <c r="C19" s="7" t="s">
        <v>89</v>
      </c>
      <c r="D19" s="12">
        <f>COUNTIF(VI_TRI_DO!$G$2:$G$1000,"LỆCH")</f>
        <v>0</v>
      </c>
      <c r="E19" s="12" t="str">
        <f t="shared" si="0"/>
        <v>ĐẠT</v>
      </c>
    </row>
    <row r="20" spans="1:5" x14ac:dyDescent="0.2">
      <c r="A20" s="7" t="s">
        <v>88</v>
      </c>
      <c r="B20" s="7" t="s">
        <v>60</v>
      </c>
      <c r="C20" s="7" t="s">
        <v>90</v>
      </c>
      <c r="D20" s="12">
        <f>COUNTIF(VI_TRI_DO!$H$2:$H$1000,"LỆCH")</f>
        <v>0</v>
      </c>
      <c r="E20" s="12" t="str">
        <f t="shared" si="0"/>
        <v>ĐẠT</v>
      </c>
    </row>
    <row r="21" spans="1:5" x14ac:dyDescent="0.2">
      <c r="A21" s="7" t="s">
        <v>88</v>
      </c>
      <c r="B21" s="7" t="s">
        <v>91</v>
      </c>
      <c r="C21" s="7" t="s">
        <v>92</v>
      </c>
      <c r="D21" s="12">
        <f>COUNTIF(VI_TRI_DO!$I$2:$I$1000,"LỆCH")</f>
        <v>0</v>
      </c>
      <c r="E21" s="12" t="str">
        <f t="shared" si="0"/>
        <v>ĐẠT</v>
      </c>
    </row>
    <row r="22" spans="1:5" x14ac:dyDescent="0.2">
      <c r="A22" s="7" t="s">
        <v>88</v>
      </c>
      <c r="B22" s="7" t="s">
        <v>93</v>
      </c>
      <c r="C22" s="7" t="s">
        <v>94</v>
      </c>
      <c r="D22" s="12">
        <f>COUNTIF(VI_TRI_DO!$J$2:$J$1000,"LỆCH")</f>
        <v>0</v>
      </c>
      <c r="E22" s="12" t="str">
        <f t="shared" si="0"/>
        <v>ĐẠT</v>
      </c>
    </row>
    <row r="23" spans="1:5" x14ac:dyDescent="0.2">
      <c r="A23" s="7" t="s">
        <v>88</v>
      </c>
      <c r="B23" s="7" t="s">
        <v>95</v>
      </c>
      <c r="C23" s="7" t="s">
        <v>96</v>
      </c>
      <c r="D23" s="12">
        <f>COUNTIF(VI_TRI_DO!$K$2:$K$1000,"LỆCH")</f>
        <v>0</v>
      </c>
      <c r="E23" s="12" t="str">
        <f t="shared" si="0"/>
        <v>ĐẠT</v>
      </c>
    </row>
    <row r="24" spans="1:5" x14ac:dyDescent="0.2">
      <c r="A24" s="7" t="s">
        <v>97</v>
      </c>
      <c r="B24" s="7" t="s">
        <v>56</v>
      </c>
      <c r="C24" s="7" t="s">
        <v>98</v>
      </c>
      <c r="D24" s="12">
        <f>COUNTIF(THE_XE!$N$2:$N$1000,"LỆCH")</f>
        <v>0</v>
      </c>
      <c r="E24" s="12" t="str">
        <f t="shared" si="0"/>
        <v>ĐẠT</v>
      </c>
    </row>
    <row r="25" spans="1:5" x14ac:dyDescent="0.2">
      <c r="A25" s="7" t="s">
        <v>97</v>
      </c>
      <c r="B25" s="7" t="s">
        <v>60</v>
      </c>
      <c r="C25" s="7" t="s">
        <v>99</v>
      </c>
      <c r="D25" s="12">
        <f>COUNTIF(THE_XE!$O$2:$O$1000,"LỆCH")</f>
        <v>0</v>
      </c>
      <c r="E25" s="12" t="str">
        <f t="shared" si="0"/>
        <v>ĐẠT</v>
      </c>
    </row>
    <row r="26" spans="1:5" x14ac:dyDescent="0.2">
      <c r="A26" s="7" t="s">
        <v>97</v>
      </c>
      <c r="B26" s="7" t="s">
        <v>73</v>
      </c>
      <c r="C26" s="7" t="s">
        <v>100</v>
      </c>
      <c r="D26" s="12">
        <f>COUNTIF(THE_XE!$P$2:$P$1000,"LỆCH")</f>
        <v>0</v>
      </c>
      <c r="E26" s="12" t="str">
        <f t="shared" si="0"/>
        <v>ĐẠT</v>
      </c>
    </row>
    <row r="27" spans="1:5" x14ac:dyDescent="0.2">
      <c r="A27" s="7" t="s">
        <v>97</v>
      </c>
      <c r="B27" s="7" t="s">
        <v>101</v>
      </c>
      <c r="C27" s="7" t="s">
        <v>102</v>
      </c>
      <c r="D27" s="12">
        <f>COUNTIF(THE_XE!$Q$2:$Q$1000,"LỆCH")</f>
        <v>0</v>
      </c>
      <c r="E27" s="12" t="str">
        <f t="shared" si="0"/>
        <v>ĐẠT</v>
      </c>
    </row>
    <row r="28" spans="1:5" x14ac:dyDescent="0.2">
      <c r="A28" s="7" t="s">
        <v>97</v>
      </c>
      <c r="B28" s="7" t="s">
        <v>103</v>
      </c>
      <c r="C28" s="7" t="s">
        <v>104</v>
      </c>
      <c r="D28" s="12">
        <f>COUNTIF(THE_XE!$R$2:$R$1000,"LỆCH")</f>
        <v>0</v>
      </c>
      <c r="E28" s="12" t="str">
        <f t="shared" si="0"/>
        <v>ĐẠT</v>
      </c>
    </row>
    <row r="29" spans="1:5" x14ac:dyDescent="0.2">
      <c r="A29" s="7" t="s">
        <v>97</v>
      </c>
      <c r="B29" s="7" t="s">
        <v>105</v>
      </c>
      <c r="C29" s="7" t="s">
        <v>106</v>
      </c>
      <c r="D29" s="12">
        <f>COUNTIF(THE_XE!$S$2:$S$1000,"LỆCH")</f>
        <v>0</v>
      </c>
      <c r="E29" s="12" t="str">
        <f t="shared" si="0"/>
        <v>ĐẠT</v>
      </c>
    </row>
    <row r="30" spans="1:5" x14ac:dyDescent="0.2">
      <c r="A30" s="7" t="s">
        <v>107</v>
      </c>
      <c r="B30" s="7" t="s">
        <v>56</v>
      </c>
      <c r="C30" s="7" t="s">
        <v>108</v>
      </c>
      <c r="D30" s="12">
        <f>COUNTIF(KHACH_HANG!$G$2:$G$1000,"LỆCH")</f>
        <v>0</v>
      </c>
      <c r="E30" s="12" t="str">
        <f t="shared" si="0"/>
        <v>ĐẠT</v>
      </c>
    </row>
    <row r="31" spans="1:5" x14ac:dyDescent="0.2">
      <c r="A31" s="7" t="s">
        <v>107</v>
      </c>
      <c r="B31" s="7" t="s">
        <v>60</v>
      </c>
      <c r="C31" s="7" t="s">
        <v>109</v>
      </c>
      <c r="D31" s="12">
        <f>COUNTIF(KHACH_HANG!$H$2:$H$1000,"LỆCH")</f>
        <v>0</v>
      </c>
      <c r="E31" s="12" t="str">
        <f t="shared" si="0"/>
        <v>ĐẠT</v>
      </c>
    </row>
    <row r="32" spans="1:5" x14ac:dyDescent="0.2">
      <c r="A32" s="7" t="s">
        <v>107</v>
      </c>
      <c r="B32" s="7" t="s">
        <v>69</v>
      </c>
      <c r="C32" s="7" t="s">
        <v>110</v>
      </c>
      <c r="D32" s="12">
        <f>COUNTIF(KHACH_HANG!$I$2:$I$1000,"LỆCH")</f>
        <v>0</v>
      </c>
      <c r="E32" s="12" t="str">
        <f t="shared" si="0"/>
        <v>ĐẠT</v>
      </c>
    </row>
    <row r="33" spans="1:5" x14ac:dyDescent="0.2">
      <c r="A33" s="7" t="s">
        <v>107</v>
      </c>
      <c r="B33" s="7" t="s">
        <v>71</v>
      </c>
      <c r="C33" s="7" t="s">
        <v>111</v>
      </c>
      <c r="D33" s="12">
        <f>COUNTIF(KHACH_HANG!$J$2:$J$1000,"LỆCH")</f>
        <v>0</v>
      </c>
      <c r="E33" s="12" t="str">
        <f t="shared" si="0"/>
        <v>ĐẠT</v>
      </c>
    </row>
    <row r="34" spans="1:5" x14ac:dyDescent="0.2">
      <c r="A34" s="7" t="s">
        <v>107</v>
      </c>
      <c r="B34" s="7" t="s">
        <v>112</v>
      </c>
      <c r="C34" s="7" t="s">
        <v>113</v>
      </c>
      <c r="D34" s="12">
        <f>COUNTIF(KHACH_HANG!$K$2:$K$1000,"LỆCH")</f>
        <v>0</v>
      </c>
      <c r="E34" s="12" t="str">
        <f t="shared" ref="E34:E65" si="1">IF(D34=0,"ĐẠT","LỆCH")</f>
        <v>ĐẠT</v>
      </c>
    </row>
    <row r="35" spans="1:5" x14ac:dyDescent="0.2">
      <c r="A35" s="7" t="s">
        <v>107</v>
      </c>
      <c r="B35" s="7" t="s">
        <v>114</v>
      </c>
      <c r="C35" s="7" t="s">
        <v>115</v>
      </c>
      <c r="D35" s="12">
        <f>COUNTIF(KHACH_HANG!$L$2:$L$1000,"LỆCH")</f>
        <v>0</v>
      </c>
      <c r="E35" s="12" t="str">
        <f t="shared" si="1"/>
        <v>ĐẠT</v>
      </c>
    </row>
    <row r="36" spans="1:5" x14ac:dyDescent="0.2">
      <c r="A36" s="7" t="s">
        <v>116</v>
      </c>
      <c r="B36" s="7" t="s">
        <v>56</v>
      </c>
      <c r="C36" s="7" t="s">
        <v>117</v>
      </c>
      <c r="D36" s="12">
        <f>COUNTIF(VE_THANG!$R$2:$R$1000,"LỆCH")</f>
        <v>0</v>
      </c>
      <c r="E36" s="12" t="str">
        <f t="shared" si="1"/>
        <v>ĐẠT</v>
      </c>
    </row>
    <row r="37" spans="1:5" x14ac:dyDescent="0.2">
      <c r="A37" s="7" t="s">
        <v>116</v>
      </c>
      <c r="B37" s="7" t="s">
        <v>60</v>
      </c>
      <c r="C37" s="7" t="s">
        <v>118</v>
      </c>
      <c r="D37" s="12">
        <f>COUNTIF(VE_THANG!$S$2:$S$1000,"LỆCH")</f>
        <v>0</v>
      </c>
      <c r="E37" s="12" t="str">
        <f t="shared" si="1"/>
        <v>ĐẠT</v>
      </c>
    </row>
    <row r="38" spans="1:5" x14ac:dyDescent="0.2">
      <c r="A38" s="7" t="s">
        <v>116</v>
      </c>
      <c r="B38" s="7" t="s">
        <v>119</v>
      </c>
      <c r="C38" s="7" t="s">
        <v>120</v>
      </c>
      <c r="D38" s="12">
        <f>COUNTIF(VE_THANG!$T$2:$T$1000,"LỆCH")</f>
        <v>0</v>
      </c>
      <c r="E38" s="12" t="str">
        <f t="shared" si="1"/>
        <v>ĐẠT</v>
      </c>
    </row>
    <row r="39" spans="1:5" x14ac:dyDescent="0.2">
      <c r="A39" s="7" t="s">
        <v>116</v>
      </c>
      <c r="B39" s="7" t="s">
        <v>121</v>
      </c>
      <c r="C39" s="7" t="s">
        <v>122</v>
      </c>
      <c r="D39" s="12">
        <f>COUNTIF(VE_THANG!$U$2:$U$1000,"LỆCH")</f>
        <v>0</v>
      </c>
      <c r="E39" s="12" t="str">
        <f t="shared" si="1"/>
        <v>ĐẠT</v>
      </c>
    </row>
    <row r="40" spans="1:5" x14ac:dyDescent="0.2">
      <c r="A40" s="7" t="s">
        <v>116</v>
      </c>
      <c r="B40" s="7" t="s">
        <v>123</v>
      </c>
      <c r="C40" s="7" t="s">
        <v>124</v>
      </c>
      <c r="D40" s="12">
        <f>COUNTIF(VE_THANG!$V$2:$V$1000,"LỆCH")</f>
        <v>0</v>
      </c>
      <c r="E40" s="12" t="str">
        <f t="shared" si="1"/>
        <v>ĐẠT</v>
      </c>
    </row>
    <row r="41" spans="1:5" x14ac:dyDescent="0.2">
      <c r="A41" s="7" t="s">
        <v>116</v>
      </c>
      <c r="B41" s="7" t="s">
        <v>125</v>
      </c>
      <c r="C41" s="7" t="s">
        <v>126</v>
      </c>
      <c r="D41" s="12">
        <f>COUNTIF(VE_THANG!$W$2:$W$1000,"LỆCH")</f>
        <v>0</v>
      </c>
      <c r="E41" s="12" t="str">
        <f t="shared" si="1"/>
        <v>ĐẠT</v>
      </c>
    </row>
    <row r="42" spans="1:5" x14ac:dyDescent="0.2">
      <c r="A42" s="7" t="s">
        <v>116</v>
      </c>
      <c r="B42" s="7" t="s">
        <v>127</v>
      </c>
      <c r="C42" s="7" t="s">
        <v>128</v>
      </c>
      <c r="D42" s="12">
        <f>COUNTIF(VE_THANG!$X$2:$X$1000,"LỆCH")</f>
        <v>0</v>
      </c>
      <c r="E42" s="12" t="str">
        <f t="shared" si="1"/>
        <v>ĐẠT</v>
      </c>
    </row>
    <row r="43" spans="1:5" x14ac:dyDescent="0.2">
      <c r="A43" s="7" t="s">
        <v>116</v>
      </c>
      <c r="B43" s="7" t="s">
        <v>129</v>
      </c>
      <c r="C43" s="7" t="s">
        <v>130</v>
      </c>
      <c r="D43" s="12">
        <f>COUNTIF(VE_THANG!$Y$2:$Y$1000,"LỆCH")</f>
        <v>0</v>
      </c>
      <c r="E43" s="12" t="str">
        <f t="shared" si="1"/>
        <v>ĐẠT</v>
      </c>
    </row>
    <row r="44" spans="1:5" x14ac:dyDescent="0.2">
      <c r="A44" s="7" t="s">
        <v>116</v>
      </c>
      <c r="B44" s="7" t="s">
        <v>131</v>
      </c>
      <c r="C44" s="7" t="s">
        <v>132</v>
      </c>
      <c r="D44" s="12">
        <f>COUNTIF(VE_THANG!$Z$2:$Z$1000,"LỆCH")</f>
        <v>0</v>
      </c>
      <c r="E44" s="12" t="str">
        <f t="shared" si="1"/>
        <v>ĐẠT</v>
      </c>
    </row>
    <row r="45" spans="1:5" x14ac:dyDescent="0.2">
      <c r="A45" s="7" t="s">
        <v>116</v>
      </c>
      <c r="B45" s="7" t="s">
        <v>133</v>
      </c>
      <c r="C45" s="7" t="s">
        <v>134</v>
      </c>
      <c r="D45" s="12">
        <f>COUNTIF(VE_THANG!$AA$2:$AA$1000,"LỆCH")</f>
        <v>0</v>
      </c>
      <c r="E45" s="12" t="str">
        <f t="shared" si="1"/>
        <v>ĐẠT</v>
      </c>
    </row>
    <row r="46" spans="1:5" x14ac:dyDescent="0.2">
      <c r="A46" s="7" t="s">
        <v>135</v>
      </c>
      <c r="B46" s="7" t="s">
        <v>56</v>
      </c>
      <c r="C46" s="7" t="s">
        <v>136</v>
      </c>
      <c r="D46" s="12">
        <f>COUNTIF(HOA_DON_VE_THANG!$P$2:$P$1000,"LỆCH")</f>
        <v>0</v>
      </c>
      <c r="E46" s="12" t="str">
        <f t="shared" si="1"/>
        <v>ĐẠT</v>
      </c>
    </row>
    <row r="47" spans="1:5" x14ac:dyDescent="0.2">
      <c r="A47" s="7" t="s">
        <v>135</v>
      </c>
      <c r="B47" s="7" t="s">
        <v>121</v>
      </c>
      <c r="C47" s="7" t="s">
        <v>137</v>
      </c>
      <c r="D47" s="12">
        <f>COUNTIF(HOA_DON_VE_THANG!$Q$2:$Q$1000,"LỆCH")</f>
        <v>0</v>
      </c>
      <c r="E47" s="12" t="str">
        <f t="shared" si="1"/>
        <v>ĐẠT</v>
      </c>
    </row>
    <row r="48" spans="1:5" x14ac:dyDescent="0.2">
      <c r="A48" s="7" t="s">
        <v>135</v>
      </c>
      <c r="B48" s="7" t="s">
        <v>138</v>
      </c>
      <c r="C48" s="7" t="s">
        <v>139</v>
      </c>
      <c r="D48" s="12">
        <f>COUNTIF(HOA_DON_VE_THANG!$R$2:$R$1000,"LỆCH")</f>
        <v>0</v>
      </c>
      <c r="E48" s="12" t="str">
        <f t="shared" si="1"/>
        <v>ĐẠT</v>
      </c>
    </row>
    <row r="49" spans="1:5" x14ac:dyDescent="0.2">
      <c r="A49" s="7" t="s">
        <v>135</v>
      </c>
      <c r="B49" s="7" t="s">
        <v>140</v>
      </c>
      <c r="C49" s="7" t="s">
        <v>141</v>
      </c>
      <c r="D49" s="12">
        <f>COUNTIF(HOA_DON_VE_THANG!$S$2:$S$1000,"LỆCH")</f>
        <v>0</v>
      </c>
      <c r="E49" s="12" t="str">
        <f t="shared" si="1"/>
        <v>ĐẠT</v>
      </c>
    </row>
    <row r="50" spans="1:5" x14ac:dyDescent="0.2">
      <c r="A50" s="7" t="s">
        <v>135</v>
      </c>
      <c r="B50" s="7" t="s">
        <v>142</v>
      </c>
      <c r="C50" s="7" t="s">
        <v>143</v>
      </c>
      <c r="D50" s="12">
        <f>COUNTIF(HOA_DON_VE_THANG!$T$2:$T$1000,"LỆCH")</f>
        <v>0</v>
      </c>
      <c r="E50" s="12" t="str">
        <f t="shared" si="1"/>
        <v>ĐẠT</v>
      </c>
    </row>
    <row r="51" spans="1:5" x14ac:dyDescent="0.2">
      <c r="A51" s="7" t="s">
        <v>144</v>
      </c>
      <c r="B51" s="7" t="s">
        <v>145</v>
      </c>
      <c r="C51" s="7" t="s">
        <v>146</v>
      </c>
      <c r="D51" s="12">
        <f>COUNTIF(LUOT_GUI!$V$2:$V$1000,"LỆCH")</f>
        <v>0</v>
      </c>
      <c r="E51" s="12" t="str">
        <f t="shared" si="1"/>
        <v>ĐẠT</v>
      </c>
    </row>
    <row r="52" spans="1:5" x14ac:dyDescent="0.2">
      <c r="A52" s="7" t="s">
        <v>144</v>
      </c>
      <c r="B52" s="7" t="s">
        <v>121</v>
      </c>
      <c r="C52" s="7" t="s">
        <v>147</v>
      </c>
      <c r="D52" s="12">
        <f>COUNTIF(LUOT_GUI!$W$2:$W$1000,"LỆCH")</f>
        <v>0</v>
      </c>
      <c r="E52" s="12" t="str">
        <f t="shared" si="1"/>
        <v>ĐẠT</v>
      </c>
    </row>
    <row r="53" spans="1:5" x14ac:dyDescent="0.2">
      <c r="A53" s="7" t="s">
        <v>144</v>
      </c>
      <c r="B53" s="7" t="s">
        <v>148</v>
      </c>
      <c r="C53" s="7" t="s">
        <v>149</v>
      </c>
      <c r="D53" s="12">
        <f>COUNTIF(LUOT_GUI!$X$2:$X$1000,"LỆCH")</f>
        <v>0</v>
      </c>
      <c r="E53" s="12" t="str">
        <f t="shared" si="1"/>
        <v>ĐẠT</v>
      </c>
    </row>
    <row r="54" spans="1:5" x14ac:dyDescent="0.2">
      <c r="A54" s="7" t="s">
        <v>144</v>
      </c>
      <c r="B54" s="7" t="s">
        <v>150</v>
      </c>
      <c r="C54" s="7" t="s">
        <v>151</v>
      </c>
      <c r="D54" s="12">
        <f>COUNTIF(LUOT_GUI!$Y$2:$Y$1000,"LỆCH")</f>
        <v>0</v>
      </c>
      <c r="E54" s="12" t="str">
        <f t="shared" si="1"/>
        <v>ĐẠT</v>
      </c>
    </row>
    <row r="55" spans="1:5" x14ac:dyDescent="0.2">
      <c r="A55" s="7" t="s">
        <v>144</v>
      </c>
      <c r="B55" s="7" t="s">
        <v>152</v>
      </c>
      <c r="C55" s="7" t="s">
        <v>153</v>
      </c>
      <c r="D55" s="12">
        <f>COUNTIF(LUOT_GUI!$Z$2:$Z$1000,"LỆCH")</f>
        <v>0</v>
      </c>
      <c r="E55" s="12" t="str">
        <f t="shared" si="1"/>
        <v>ĐẠT</v>
      </c>
    </row>
    <row r="56" spans="1:5" x14ac:dyDescent="0.2">
      <c r="A56" s="7" t="s">
        <v>144</v>
      </c>
      <c r="B56" s="7" t="s">
        <v>154</v>
      </c>
      <c r="C56" s="7" t="s">
        <v>155</v>
      </c>
      <c r="D56" s="12">
        <f>COUNTIF(LUOT_GUI!$AA$2:$AA$1000,"LỆCH")</f>
        <v>0</v>
      </c>
      <c r="E56" s="12" t="str">
        <f t="shared" si="1"/>
        <v>ĐẠT</v>
      </c>
    </row>
    <row r="57" spans="1:5" x14ac:dyDescent="0.2">
      <c r="A57" s="7" t="s">
        <v>144</v>
      </c>
      <c r="B57" s="7" t="s">
        <v>156</v>
      </c>
      <c r="C57" s="7" t="s">
        <v>157</v>
      </c>
      <c r="D57" s="12">
        <f>COUNTIF(LUOT_GUI!$AB$2:$AB$1000,"LỆCH")</f>
        <v>0</v>
      </c>
      <c r="E57" s="12" t="str">
        <f t="shared" si="1"/>
        <v>ĐẠT</v>
      </c>
    </row>
    <row r="58" spans="1:5" x14ac:dyDescent="0.2">
      <c r="A58" s="7" t="s">
        <v>144</v>
      </c>
      <c r="B58" s="7" t="s">
        <v>158</v>
      </c>
      <c r="C58" s="7" t="s">
        <v>159</v>
      </c>
      <c r="D58" s="12">
        <f>COUNTIF(LUOT_GUI!$AC$2:$AC$1000,"LỆCH")</f>
        <v>0</v>
      </c>
      <c r="E58" s="12" t="str">
        <f t="shared" si="1"/>
        <v>ĐẠT</v>
      </c>
    </row>
    <row r="59" spans="1:5" x14ac:dyDescent="0.2">
      <c r="A59" s="7" t="s">
        <v>160</v>
      </c>
      <c r="B59" s="7" t="s">
        <v>161</v>
      </c>
      <c r="C59" s="7" t="s">
        <v>162</v>
      </c>
      <c r="D59" s="12">
        <f>COUNTIF(LICHSU_SU_CO!$M$2:$M$1000,"LỆCH")</f>
        <v>0</v>
      </c>
      <c r="E59" s="12" t="str">
        <f t="shared" si="1"/>
        <v>ĐẠT</v>
      </c>
    </row>
    <row r="60" spans="1:5" x14ac:dyDescent="0.2">
      <c r="A60" s="7" t="s">
        <v>160</v>
      </c>
      <c r="B60" s="7" t="s">
        <v>121</v>
      </c>
      <c r="C60" s="7" t="s">
        <v>163</v>
      </c>
      <c r="D60" s="12">
        <f>COUNTIF(LICHSU_SU_CO!$N$2:$N$1000,"LỆCH")</f>
        <v>0</v>
      </c>
      <c r="E60" s="12" t="str">
        <f t="shared" si="1"/>
        <v>ĐẠT</v>
      </c>
    </row>
    <row r="61" spans="1:5" x14ac:dyDescent="0.2">
      <c r="A61" s="7" t="s">
        <v>160</v>
      </c>
      <c r="B61" s="7" t="s">
        <v>164</v>
      </c>
      <c r="C61" s="7" t="s">
        <v>165</v>
      </c>
      <c r="D61" s="12">
        <f>COUNTIF(LICHSU_SU_CO!$O$2:$O$1000,"LỆCH")</f>
        <v>0</v>
      </c>
      <c r="E61" s="12" t="str">
        <f t="shared" si="1"/>
        <v>ĐẠT</v>
      </c>
    </row>
    <row r="62" spans="1:5" x14ac:dyDescent="0.2">
      <c r="A62" s="7" t="s">
        <v>160</v>
      </c>
      <c r="B62" s="7" t="s">
        <v>166</v>
      </c>
      <c r="C62" s="7" t="s">
        <v>167</v>
      </c>
      <c r="D62" s="12">
        <f>COUNTIF(LICHSU_SU_CO!$P$2:$P$1000,"LỆCH")</f>
        <v>0</v>
      </c>
      <c r="E62" s="12" t="str">
        <f t="shared" si="1"/>
        <v>ĐẠT</v>
      </c>
    </row>
    <row r="63" spans="1:5" x14ac:dyDescent="0.2">
      <c r="A63" s="7" t="s">
        <v>160</v>
      </c>
      <c r="B63" s="7" t="s">
        <v>125</v>
      </c>
      <c r="C63" s="7" t="s">
        <v>168</v>
      </c>
      <c r="D63" s="12">
        <f>COUNTIF(LICHSU_SU_CO!$Q$2:$Q$1000,"LỆCH")</f>
        <v>0</v>
      </c>
      <c r="E63" s="12" t="str">
        <f t="shared" si="1"/>
        <v>ĐẠT</v>
      </c>
    </row>
    <row r="65" spans="3:4" x14ac:dyDescent="0.2">
      <c r="C65" s="5" t="s">
        <v>169</v>
      </c>
      <c r="D65" s="5">
        <f>COUNTIF(E2:E63,"LỆCH")</f>
        <v>0</v>
      </c>
    </row>
  </sheetData>
  <conditionalFormatting sqref="E2:E63">
    <cfRule type="cellIs" dxfId="23" priority="2" operator="equal">
      <formula>"LỆCH"</formula>
    </cfRule>
    <cfRule type="cellIs" dxfId="22" priority="3" operator="equal">
      <formula>"ĐẠT"</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6"/>
  <sheetViews>
    <sheetView tabSelected="1" zoomScaleNormal="100" workbookViewId="0">
      <pane xSplit="1" ySplit="1" topLeftCell="B4" activePane="bottomRight" state="frozen"/>
      <selection pane="topRight" activeCell="B1" sqref="B1"/>
      <selection pane="bottomLeft" activeCell="A2" sqref="A2"/>
      <selection pane="bottomRight" activeCell="C34" sqref="C34"/>
    </sheetView>
  </sheetViews>
  <sheetFormatPr baseColWidth="10" defaultColWidth="8.5" defaultRowHeight="15" x14ac:dyDescent="0.2"/>
  <cols>
    <col min="1" max="1" width="12" customWidth="1"/>
    <col min="2" max="2" width="40" customWidth="1"/>
    <col min="3" max="3" width="60" customWidth="1"/>
    <col min="4" max="4" width="12" customWidth="1"/>
    <col min="5" max="5" width="18" customWidth="1"/>
    <col min="6" max="7" width="14" customWidth="1"/>
    <col min="8" max="8" width="16" customWidth="1"/>
    <col min="9" max="9" width="17" customWidth="1"/>
    <col min="10" max="10" width="16" customWidth="1"/>
    <col min="11" max="11" width="18" customWidth="1"/>
    <col min="12" max="12" width="19" customWidth="1"/>
    <col min="13" max="13" width="12" customWidth="1"/>
    <col min="14" max="14" width="20" customWidth="1"/>
    <col min="15" max="15" width="17" customWidth="1"/>
    <col min="16" max="16" width="19" customWidth="1"/>
    <col min="17" max="17" width="23" customWidth="1"/>
  </cols>
  <sheetData>
    <row r="1" spans="1:17" ht="33.75" customHeight="1" x14ac:dyDescent="0.2">
      <c r="A1" s="13" t="s">
        <v>170</v>
      </c>
      <c r="B1" s="13" t="s">
        <v>171</v>
      </c>
      <c r="C1" s="13" t="s">
        <v>172</v>
      </c>
      <c r="D1" s="14" t="s">
        <v>173</v>
      </c>
      <c r="E1" s="14" t="s">
        <v>174</v>
      </c>
      <c r="F1" s="15" t="s">
        <v>175</v>
      </c>
      <c r="G1" s="15" t="s">
        <v>176</v>
      </c>
      <c r="H1" s="15" t="s">
        <v>177</v>
      </c>
      <c r="I1" s="15" t="s">
        <v>178</v>
      </c>
      <c r="J1" s="15" t="s">
        <v>179</v>
      </c>
      <c r="K1" s="15" t="s">
        <v>180</v>
      </c>
      <c r="L1" s="15" t="s">
        <v>181</v>
      </c>
      <c r="M1" s="15" t="s">
        <v>56</v>
      </c>
      <c r="N1" s="15" t="s">
        <v>58</v>
      </c>
      <c r="O1" s="15" t="s">
        <v>60</v>
      </c>
      <c r="P1" s="15" t="s">
        <v>62</v>
      </c>
      <c r="Q1" s="15" t="s">
        <v>64</v>
      </c>
    </row>
    <row r="2" spans="1:17" x14ac:dyDescent="0.2">
      <c r="A2" s="16" t="s">
        <v>182</v>
      </c>
      <c r="B2" s="16" t="s">
        <v>183</v>
      </c>
      <c r="C2" s="16" t="s">
        <v>184</v>
      </c>
      <c r="D2" s="17">
        <f>COUNTIF(VI_TRI_DO!$E$2:$E$1000,A2)</f>
        <v>12</v>
      </c>
      <c r="E2" s="17">
        <f>SUMPRODUCT((LUOT_GUI!$H$2:$H$1000=A2)*(LEN(LUOT_GUI!$E$2:$E$1000)=0))</f>
        <v>1</v>
      </c>
      <c r="F2" s="17">
        <f>D2-E2</f>
        <v>11</v>
      </c>
      <c r="G2" s="18">
        <f>IF(D2&gt;0,E2/D2,0)</f>
        <v>8.3333333333333329E-2</v>
      </c>
      <c r="H2" s="19">
        <f>SUMIFS(LUOT_GUI!$G$2:$G$1000,LUOT_GUI!$H$2:$H$1000,A2)</f>
        <v>77000</v>
      </c>
      <c r="I2" s="19">
        <f>SUMIFS(HOA_DON_VE_THANG!$E$2:$E$1000,HOA_DON_VE_THANG!$F$2:$F$1000,A2)</f>
        <v>28800000</v>
      </c>
      <c r="J2" s="19">
        <f>H2+I2</f>
        <v>28877000</v>
      </c>
      <c r="K2" s="12" t="str">
        <f>IF(J2&gt;=NguongDoanhThuRatCao,"Hiệu quả rất cao (Doanh thu &gt; 10 triệu)",IF(J2&gt;=NguongDoanhThuTot,"Hiệu quả tốt","Cần đẩy mạnh khai thác thêm lượt gửi"))</f>
        <v>Hiệu quả rất cao (Doanh thu &gt; 10 triệu)</v>
      </c>
      <c r="L2" s="17">
        <f>RANK(J2,$J$2:$J$6,0)</f>
        <v>1</v>
      </c>
      <c r="M2" s="12" t="str">
        <f>IF(SUMPRODUCT(--(BAI_DO_XE!$A$2:$A$1000=A2))=1,"ĐẠT","LỆCH")</f>
        <v>ĐẠT</v>
      </c>
      <c r="N2" s="12" t="str">
        <f>IF(SUMPRODUCT(--(BAI_DO_XE!$B$2:$B$1000=B2))=1,"ĐẠT","LỆCH")</f>
        <v>ĐẠT</v>
      </c>
      <c r="O2" s="12" t="str">
        <f>IF(LEFT(A2,4)="BAI_","ĐẠT","LỆCH")</f>
        <v>ĐẠT</v>
      </c>
      <c r="P2" s="12" t="str">
        <f>IF(D2&gt;0,"ĐẠT","LỆCH")</f>
        <v>ĐẠT</v>
      </c>
      <c r="Q2" s="12" t="str">
        <f>IF(E2&lt;=D2,"ĐẠT","LỆCH")</f>
        <v>ĐẠT</v>
      </c>
    </row>
    <row r="3" spans="1:17" x14ac:dyDescent="0.2">
      <c r="A3" s="16" t="s">
        <v>185</v>
      </c>
      <c r="B3" s="16" t="s">
        <v>186</v>
      </c>
      <c r="C3" s="16" t="s">
        <v>187</v>
      </c>
      <c r="D3" s="17">
        <f>COUNTIF(VI_TRI_DO!$E$2:$E$1000,A3)</f>
        <v>12</v>
      </c>
      <c r="E3" s="17">
        <f>SUMPRODUCT((LUOT_GUI!$H$2:$H$1000=A3)*(LEN(LUOT_GUI!$E$2:$E$1000)=0))</f>
        <v>2</v>
      </c>
      <c r="F3" s="17">
        <f>D3-E3</f>
        <v>10</v>
      </c>
      <c r="G3" s="18">
        <f>IF(D3&gt;0,E3/D3,0)</f>
        <v>0.16666666666666666</v>
      </c>
      <c r="H3" s="19">
        <f>SUMIFS(LUOT_GUI!$G$2:$G$1000,LUOT_GUI!$H$2:$H$1000,A3)</f>
        <v>174000</v>
      </c>
      <c r="I3" s="19">
        <f>SUMIFS(HOA_DON_VE_THANG!$E$2:$E$1000,HOA_DON_VE_THANG!$F$2:$F$1000,A3)</f>
        <v>18360000</v>
      </c>
      <c r="J3" s="19">
        <f>H3+I3</f>
        <v>18534000</v>
      </c>
      <c r="K3" s="12" t="str">
        <f>IF(J3&gt;=NguongDoanhThuRatCao,"Hiệu quả rất cao (Doanh thu &gt; 10 triệu)",IF(J3&gt;=NguongDoanhThuTot,"Hiệu quả tốt","Cần đẩy mạnh khai thác thêm lượt gửi"))</f>
        <v>Hiệu quả rất cao (Doanh thu &gt; 10 triệu)</v>
      </c>
      <c r="L3" s="17">
        <f>RANK(J3,$J$2:$J$6,0)</f>
        <v>3</v>
      </c>
      <c r="M3" s="12" t="str">
        <f>IF(SUMPRODUCT(--(BAI_DO_XE!$A$2:$A$1000=A3))=1,"ĐẠT","LỆCH")</f>
        <v>ĐẠT</v>
      </c>
      <c r="N3" s="12" t="str">
        <f>IF(SUMPRODUCT(--(BAI_DO_XE!$B$2:$B$1000=B3))=1,"ĐẠT","LỆCH")</f>
        <v>ĐẠT</v>
      </c>
      <c r="O3" s="12" t="str">
        <f>IF(LEFT(A3,4)="BAI_","ĐẠT","LỆCH")</f>
        <v>ĐẠT</v>
      </c>
      <c r="P3" s="12" t="str">
        <f>IF(D3&gt;0,"ĐẠT","LỆCH")</f>
        <v>ĐẠT</v>
      </c>
      <c r="Q3" s="12" t="str">
        <f>IF(E3&lt;=D3,"ĐẠT","LỆCH")</f>
        <v>ĐẠT</v>
      </c>
    </row>
    <row r="4" spans="1:17" x14ac:dyDescent="0.2">
      <c r="A4" s="16" t="s">
        <v>188</v>
      </c>
      <c r="B4" s="16" t="s">
        <v>189</v>
      </c>
      <c r="C4" s="16" t="s">
        <v>190</v>
      </c>
      <c r="D4" s="17">
        <f>COUNTIF(VI_TRI_DO!$E$2:$E$1000,A4)</f>
        <v>10</v>
      </c>
      <c r="E4" s="17">
        <f>SUMPRODUCT((LUOT_GUI!$H$2:$H$1000=A4)*(LEN(LUOT_GUI!$E$2:$E$1000)=0))</f>
        <v>1</v>
      </c>
      <c r="F4" s="17">
        <f>D4-E4</f>
        <v>9</v>
      </c>
      <c r="G4" s="18">
        <f>IF(D4&gt;0,E4/D4,0)</f>
        <v>0.1</v>
      </c>
      <c r="H4" s="19">
        <f>SUMIFS(LUOT_GUI!$G$2:$G$1000,LUOT_GUI!$H$2:$H$1000,A4)</f>
        <v>15000</v>
      </c>
      <c r="I4" s="19">
        <f>SUMIFS(HOA_DON_VE_THANG!$E$2:$E$1000,HOA_DON_VE_THANG!$F$2:$F$1000,A4)</f>
        <v>15150000</v>
      </c>
      <c r="J4" s="19">
        <f>H4+I4</f>
        <v>15165000</v>
      </c>
      <c r="K4" s="12" t="str">
        <f>IF(J4&gt;=NguongDoanhThuRatCao,"Hiệu quả rất cao (Doanh thu &gt; 10 triệu)",IF(J4&gt;=NguongDoanhThuTot,"Hiệu quả tốt","Cần đẩy mạnh khai thác thêm lượt gửi"))</f>
        <v>Hiệu quả rất cao (Doanh thu &gt; 10 triệu)</v>
      </c>
      <c r="L4" s="17">
        <f>RANK(J4,$J$2:$J$6,0)</f>
        <v>4</v>
      </c>
      <c r="M4" s="12" t="str">
        <f>IF(SUMPRODUCT(--(BAI_DO_XE!$A$2:$A$1000=A4))=1,"ĐẠT","LỆCH")</f>
        <v>ĐẠT</v>
      </c>
      <c r="N4" s="12" t="str">
        <f>IF(SUMPRODUCT(--(BAI_DO_XE!$B$2:$B$1000=B4))=1,"ĐẠT","LỆCH")</f>
        <v>ĐẠT</v>
      </c>
      <c r="O4" s="12" t="str">
        <f>IF(LEFT(A4,4)="BAI_","ĐẠT","LỆCH")</f>
        <v>ĐẠT</v>
      </c>
      <c r="P4" s="12" t="str">
        <f>IF(D4&gt;0,"ĐẠT","LỆCH")</f>
        <v>ĐẠT</v>
      </c>
      <c r="Q4" s="12" t="str">
        <f>IF(E4&lt;=D4,"ĐẠT","LỆCH")</f>
        <v>ĐẠT</v>
      </c>
    </row>
    <row r="5" spans="1:17" x14ac:dyDescent="0.2">
      <c r="A5" s="16" t="s">
        <v>191</v>
      </c>
      <c r="B5" s="16" t="s">
        <v>192</v>
      </c>
      <c r="C5" s="16" t="s">
        <v>193</v>
      </c>
      <c r="D5" s="17">
        <f>COUNTIF(VI_TRI_DO!$E$2:$E$1000,A5)</f>
        <v>12</v>
      </c>
      <c r="E5" s="17">
        <f>SUMPRODUCT((LUOT_GUI!$H$2:$H$1000=A5)*(LEN(LUOT_GUI!$E$2:$E$1000)=0))</f>
        <v>2</v>
      </c>
      <c r="F5" s="17">
        <f>D5-E5</f>
        <v>10</v>
      </c>
      <c r="G5" s="18">
        <f>IF(D5&gt;0,E5/D5,0)</f>
        <v>0.16666666666666666</v>
      </c>
      <c r="H5" s="19">
        <f>SUMIFS(LUOT_GUI!$G$2:$G$1000,LUOT_GUI!$H$2:$H$1000,A5)</f>
        <v>20000</v>
      </c>
      <c r="I5" s="19">
        <f>SUMIFS(HOA_DON_VE_THANG!$E$2:$E$1000,HOA_DON_VE_THANG!$F$2:$F$1000,A5)</f>
        <v>11220000</v>
      </c>
      <c r="J5" s="19">
        <f>H5+I5</f>
        <v>11240000</v>
      </c>
      <c r="K5" s="12" t="str">
        <f>IF(J5&gt;=NguongDoanhThuRatCao,"Hiệu quả rất cao (Doanh thu &gt; 10 triệu)",IF(J5&gt;=NguongDoanhThuTot,"Hiệu quả tốt","Cần đẩy mạnh khai thác thêm lượt gửi"))</f>
        <v>Hiệu quả rất cao (Doanh thu &gt; 10 triệu)</v>
      </c>
      <c r="L5" s="17">
        <f>RANK(J5,$J$2:$J$6,0)</f>
        <v>5</v>
      </c>
      <c r="M5" s="12" t="str">
        <f>IF(SUMPRODUCT(--(BAI_DO_XE!$A$2:$A$1000=A5))=1,"ĐẠT","LỆCH")</f>
        <v>ĐẠT</v>
      </c>
      <c r="N5" s="12" t="str">
        <f>IF(SUMPRODUCT(--(BAI_DO_XE!$B$2:$B$1000=B5))=1,"ĐẠT","LỆCH")</f>
        <v>ĐẠT</v>
      </c>
      <c r="O5" s="12" t="str">
        <f>IF(LEFT(A5,4)="BAI_","ĐẠT","LỆCH")</f>
        <v>ĐẠT</v>
      </c>
      <c r="P5" s="12" t="str">
        <f>IF(D5&gt;0,"ĐẠT","LỆCH")</f>
        <v>ĐẠT</v>
      </c>
      <c r="Q5" s="12" t="str">
        <f>IF(E5&lt;=D5,"ĐẠT","LỆCH")</f>
        <v>ĐẠT</v>
      </c>
    </row>
    <row r="6" spans="1:17" x14ac:dyDescent="0.2">
      <c r="A6" s="16" t="s">
        <v>194</v>
      </c>
      <c r="B6" s="16" t="s">
        <v>195</v>
      </c>
      <c r="C6" s="16" t="s">
        <v>196</v>
      </c>
      <c r="D6" s="17">
        <f>COUNTIF(VI_TRI_DO!$E$2:$E$1000,A6)</f>
        <v>14</v>
      </c>
      <c r="E6" s="17">
        <f>SUMPRODUCT((LUOT_GUI!$H$2:$H$1000=A6)*(LEN(LUOT_GUI!$E$2:$E$1000)=0))</f>
        <v>3</v>
      </c>
      <c r="F6" s="17">
        <f>D6-E6</f>
        <v>11</v>
      </c>
      <c r="G6" s="18">
        <f>IF(D6&gt;0,E6/D6,0)</f>
        <v>0.21428571428571427</v>
      </c>
      <c r="H6" s="19">
        <f>SUMIFS(LUOT_GUI!$G$2:$G$1000,LUOT_GUI!$H$2:$H$1000,A6)</f>
        <v>165000</v>
      </c>
      <c r="I6" s="19">
        <f>SUMIFS(HOA_DON_VE_THANG!$E$2:$E$1000,HOA_DON_VE_THANG!$F$2:$F$1000,A6)</f>
        <v>19400000</v>
      </c>
      <c r="J6" s="19">
        <f>H6+I6</f>
        <v>19565000</v>
      </c>
      <c r="K6" s="12" t="str">
        <f>IF(J6&gt;=NguongDoanhThuRatCao,"Hiệu quả rất cao (Doanh thu &gt; 10 triệu)",IF(J6&gt;=NguongDoanhThuTot,"Hiệu quả tốt","Cần đẩy mạnh khai thác thêm lượt gửi"))</f>
        <v>Hiệu quả rất cao (Doanh thu &gt; 10 triệu)</v>
      </c>
      <c r="L6" s="17">
        <f>RANK(J6,$J$2:$J$6,0)</f>
        <v>2</v>
      </c>
      <c r="M6" s="12" t="str">
        <f>IF(SUMPRODUCT(--(BAI_DO_XE!$A$2:$A$1000=A6))=1,"ĐẠT","LỆCH")</f>
        <v>ĐẠT</v>
      </c>
      <c r="N6" s="12" t="str">
        <f>IF(SUMPRODUCT(--(BAI_DO_XE!$B$2:$B$1000=B6))=1,"ĐẠT","LỆCH")</f>
        <v>ĐẠT</v>
      </c>
      <c r="O6" s="12" t="str">
        <f>IF(LEFT(A6,4)="BAI_","ĐẠT","LỆCH")</f>
        <v>ĐẠT</v>
      </c>
      <c r="P6" s="12" t="str">
        <f>IF(D6&gt;0,"ĐẠT","LỆCH")</f>
        <v>ĐẠT</v>
      </c>
      <c r="Q6" s="12" t="str">
        <f>IF(E6&lt;=D6,"ĐẠT","LỆCH")</f>
        <v>ĐẠT</v>
      </c>
    </row>
  </sheetData>
  <autoFilter ref="A1:Q6" xr:uid="{00000000-0009-0000-0000-000004000000}"/>
  <conditionalFormatting sqref="M2:Q1000">
    <cfRule type="cellIs" dxfId="21" priority="2" operator="equal">
      <formula>"LỆCH"</formula>
    </cfRule>
    <cfRule type="cellIs" dxfId="20" priority="3" operator="equal">
      <formula>"ĐẠT"</formula>
    </cfRule>
  </conditionalFormatting>
  <dataValidations count="3">
    <dataValidation type="textLength" operator="lessThanOrEqual" showErrorMessage="1" errorTitle="Dữ liệu không hợp lệ" error="Tối đa 10 ký tự (VARCHAR/NVARCHAR(10))" sqref="A2:A1000" xr:uid="{00000000-0002-0000-0400-000000000000}">
      <formula1>10</formula1>
      <formula2>0</formula2>
    </dataValidation>
    <dataValidation type="textLength" operator="lessThanOrEqual" showErrorMessage="1" errorTitle="Dữ liệu không hợp lệ" error="Tối đa 100 ký tự (VARCHAR/NVARCHAR(100))" sqref="B2:B1000" xr:uid="{00000000-0002-0000-0400-000001000000}">
      <formula1>100</formula1>
      <formula2>0</formula2>
    </dataValidation>
    <dataValidation type="textLength" operator="lessThanOrEqual" showErrorMessage="1" errorTitle="Dữ liệu không hợp lệ" error="Tối đa 255 ký tự (VARCHAR/NVARCHAR(255))" sqref="C2:C1000" xr:uid="{00000000-0002-0000-0400-000002000000}">
      <formula1>255</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2"/>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5" defaultRowHeight="15" x14ac:dyDescent="0.2"/>
  <cols>
    <col min="1" max="1" width="12" customWidth="1"/>
    <col min="2" max="2" width="18" customWidth="1"/>
    <col min="3" max="3" width="20" customWidth="1"/>
    <col min="4" max="4" width="12" customWidth="1"/>
    <col min="5" max="5" width="28" customWidth="1"/>
    <col min="6" max="6" width="12" customWidth="1"/>
    <col min="7" max="7" width="18" customWidth="1"/>
    <col min="8" max="8" width="14" customWidth="1"/>
    <col min="9" max="9" width="12" customWidth="1"/>
    <col min="10" max="11" width="17" customWidth="1"/>
    <col min="12" max="12" width="19" customWidth="1"/>
    <col min="13" max="13" width="15" customWidth="1"/>
    <col min="14" max="14" width="23" customWidth="1"/>
  </cols>
  <sheetData>
    <row r="1" spans="1:14" ht="33.75" customHeight="1" x14ac:dyDescent="0.2">
      <c r="A1" s="13" t="s">
        <v>197</v>
      </c>
      <c r="B1" s="13" t="s">
        <v>198</v>
      </c>
      <c r="C1" s="13" t="s">
        <v>199</v>
      </c>
      <c r="D1" s="13" t="s">
        <v>200</v>
      </c>
      <c r="E1" s="13" t="s">
        <v>201</v>
      </c>
      <c r="F1" s="13" t="s">
        <v>170</v>
      </c>
      <c r="G1" s="15" t="s">
        <v>202</v>
      </c>
      <c r="H1" s="15" t="s">
        <v>203</v>
      </c>
      <c r="I1" s="15" t="s">
        <v>56</v>
      </c>
      <c r="J1" s="15" t="s">
        <v>60</v>
      </c>
      <c r="K1" s="15" t="s">
        <v>69</v>
      </c>
      <c r="L1" s="15" t="s">
        <v>71</v>
      </c>
      <c r="M1" s="15" t="s">
        <v>73</v>
      </c>
      <c r="N1" s="15" t="s">
        <v>75</v>
      </c>
    </row>
    <row r="2" spans="1:14" x14ac:dyDescent="0.2">
      <c r="A2" s="16" t="s">
        <v>204</v>
      </c>
      <c r="B2" s="16" t="s">
        <v>205</v>
      </c>
      <c r="C2" s="16" t="s">
        <v>206</v>
      </c>
      <c r="D2" s="16" t="s">
        <v>207</v>
      </c>
      <c r="E2" s="16" t="s">
        <v>208</v>
      </c>
      <c r="F2" s="16"/>
      <c r="G2" s="12" t="str">
        <f>IF(LEN(F2)=0,"Toàn chuỗi",INDEX(BAI_DO_XE!$B$2:$B$1000,MATCH(F2,BAI_DO_XE!$A$2:$A$1000,0)))</f>
        <v>Toàn chuỗi</v>
      </c>
      <c r="H2" s="17">
        <f>COUNTIF(TAI_KHOAN!$C$2:$C$1000,A2)</f>
        <v>1</v>
      </c>
      <c r="I2" s="12" t="str">
        <f>IF(SUMPRODUCT(--(NHAN_VIEN!$A$2:$A$1000=A2))=1,"ĐẠT","LỆCH")</f>
        <v>ĐẠT</v>
      </c>
      <c r="J2" s="12" t="str">
        <f t="shared" ref="J2:J12" si="0">IF(AND(LEN(A2)=5,LEFT(A2,2)="NV",ISNUMBER(-MID(A2,3,3)),ISERROR(FIND(".",MID(A2,3,3)))),"ĐẠT","LỆCH")</f>
        <v>ĐẠT</v>
      </c>
      <c r="K2" s="12" t="str">
        <f>IF(SUMPRODUCT(--(NHAN_VIEN!$D$2:$D$1000=D2))=1,"ĐẠT","LỆCH")</f>
        <v>ĐẠT</v>
      </c>
      <c r="L2" s="12" t="str">
        <f>IF(LEN(E2)=0,"ĐẠT",IF(SUMPRODUCT(--(NHAN_VIEN!$E$2:$E$1000=E2))=1,"ĐẠT","LỆCH"))</f>
        <v>ĐẠT</v>
      </c>
      <c r="M2" s="12" t="str">
        <f>IF(LEN(F2)=0,"ĐẠT",IF(SUMPRODUCT(--(BAI_DO_XE!$A$2:$A$1000=F2))&gt;0,"ĐẠT","LỆCH"))</f>
        <v>ĐẠT</v>
      </c>
      <c r="N2" s="12" t="str">
        <f t="shared" ref="N2:N12" si="1">IF(IF(C2="Giám đốc điều hành",LEN(F2)=0,LEN(F2)&gt;0),"ĐẠT","LỆCH")</f>
        <v>ĐẠT</v>
      </c>
    </row>
    <row r="3" spans="1:14" x14ac:dyDescent="0.2">
      <c r="A3" s="16" t="s">
        <v>209</v>
      </c>
      <c r="B3" s="16" t="s">
        <v>210</v>
      </c>
      <c r="C3" s="16" t="s">
        <v>211</v>
      </c>
      <c r="D3" s="16" t="s">
        <v>212</v>
      </c>
      <c r="E3" s="16" t="s">
        <v>213</v>
      </c>
      <c r="F3" s="16" t="s">
        <v>185</v>
      </c>
      <c r="G3" s="12" t="str">
        <f>IF(LEN(F3)=0,"Toàn chuỗi",INDEX(BAI_DO_XE!$B$2:$B$1000,MATCH(F3,BAI_DO_XE!$A$2:$A$1000,0)))</f>
        <v>Bãi xe Lê Lai - Bến Thành</v>
      </c>
      <c r="H3" s="17">
        <f>COUNTIF(TAI_KHOAN!$C$2:$C$1000,A3)</f>
        <v>1</v>
      </c>
      <c r="I3" s="12" t="str">
        <f>IF(SUMPRODUCT(--(NHAN_VIEN!$A$2:$A$1000=A3))=1,"ĐẠT","LỆCH")</f>
        <v>ĐẠT</v>
      </c>
      <c r="J3" s="12" t="str">
        <f t="shared" si="0"/>
        <v>ĐẠT</v>
      </c>
      <c r="K3" s="12" t="str">
        <f>IF(SUMPRODUCT(--(NHAN_VIEN!$D$2:$D$1000=D3))=1,"ĐẠT","LỆCH")</f>
        <v>ĐẠT</v>
      </c>
      <c r="L3" s="12" t="str">
        <f>IF(LEN(E3)=0,"ĐẠT",IF(SUMPRODUCT(--(NHAN_VIEN!$E$2:$E$1000=E3))=1,"ĐẠT","LỆCH"))</f>
        <v>ĐẠT</v>
      </c>
      <c r="M3" s="12" t="str">
        <f>IF(LEN(F3)=0,"ĐẠT",IF(SUMPRODUCT(--(BAI_DO_XE!$A$2:$A$1000=F3))&gt;0,"ĐẠT","LỆCH"))</f>
        <v>ĐẠT</v>
      </c>
      <c r="N3" s="12" t="str">
        <f t="shared" si="1"/>
        <v>ĐẠT</v>
      </c>
    </row>
    <row r="4" spans="1:14" x14ac:dyDescent="0.2">
      <c r="A4" s="16" t="s">
        <v>214</v>
      </c>
      <c r="B4" s="16" t="s">
        <v>215</v>
      </c>
      <c r="C4" s="16" t="s">
        <v>211</v>
      </c>
      <c r="D4" s="16" t="s">
        <v>216</v>
      </c>
      <c r="E4" s="16" t="s">
        <v>217</v>
      </c>
      <c r="F4" s="16" t="s">
        <v>188</v>
      </c>
      <c r="G4" s="12" t="str">
        <f>IF(LEN(F4)=0,"Toàn chuỗi",INDEX(BAI_DO_XE!$B$2:$B$1000,MATCH(F4,BAI_DO_XE!$A$2:$A$1000,0)))</f>
        <v>Bãi xe Hai Bà Trưng</v>
      </c>
      <c r="H4" s="17">
        <f>COUNTIF(TAI_KHOAN!$C$2:$C$1000,A4)</f>
        <v>1</v>
      </c>
      <c r="I4" s="12" t="str">
        <f>IF(SUMPRODUCT(--(NHAN_VIEN!$A$2:$A$1000=A4))=1,"ĐẠT","LỆCH")</f>
        <v>ĐẠT</v>
      </c>
      <c r="J4" s="12" t="str">
        <f t="shared" si="0"/>
        <v>ĐẠT</v>
      </c>
      <c r="K4" s="12" t="str">
        <f>IF(SUMPRODUCT(--(NHAN_VIEN!$D$2:$D$1000=D4))=1,"ĐẠT","LỆCH")</f>
        <v>ĐẠT</v>
      </c>
      <c r="L4" s="12" t="str">
        <f>IF(LEN(E4)=0,"ĐẠT",IF(SUMPRODUCT(--(NHAN_VIEN!$E$2:$E$1000=E4))=1,"ĐẠT","LỆCH"))</f>
        <v>ĐẠT</v>
      </c>
      <c r="M4" s="12" t="str">
        <f>IF(LEN(F4)=0,"ĐẠT",IF(SUMPRODUCT(--(BAI_DO_XE!$A$2:$A$1000=F4))&gt;0,"ĐẠT","LỆCH"))</f>
        <v>ĐẠT</v>
      </c>
      <c r="N4" s="12" t="str">
        <f t="shared" si="1"/>
        <v>ĐẠT</v>
      </c>
    </row>
    <row r="5" spans="1:14" x14ac:dyDescent="0.2">
      <c r="A5" s="16" t="s">
        <v>218</v>
      </c>
      <c r="B5" s="16" t="s">
        <v>219</v>
      </c>
      <c r="C5" s="16" t="s">
        <v>211</v>
      </c>
      <c r="D5" s="16" t="s">
        <v>220</v>
      </c>
      <c r="E5" s="16" t="s">
        <v>221</v>
      </c>
      <c r="F5" s="16" t="s">
        <v>182</v>
      </c>
      <c r="G5" s="12" t="str">
        <f>IF(LEN(F5)=0,"Toàn chuỗi",INDEX(BAI_DO_XE!$B$2:$B$1000,MATCH(F5,BAI_DO_XE!$A$2:$A$1000,0)))</f>
        <v>Bãi xe Landmark 81</v>
      </c>
      <c r="H5" s="17">
        <f>COUNTIF(TAI_KHOAN!$C$2:$C$1000,A5)</f>
        <v>1</v>
      </c>
      <c r="I5" s="12" t="str">
        <f>IF(SUMPRODUCT(--(NHAN_VIEN!$A$2:$A$1000=A5))=1,"ĐẠT","LỆCH")</f>
        <v>ĐẠT</v>
      </c>
      <c r="J5" s="12" t="str">
        <f t="shared" si="0"/>
        <v>ĐẠT</v>
      </c>
      <c r="K5" s="12" t="str">
        <f>IF(SUMPRODUCT(--(NHAN_VIEN!$D$2:$D$1000=D5))=1,"ĐẠT","LỆCH")</f>
        <v>ĐẠT</v>
      </c>
      <c r="L5" s="12" t="str">
        <f>IF(LEN(E5)=0,"ĐẠT",IF(SUMPRODUCT(--(NHAN_VIEN!$E$2:$E$1000=E5))=1,"ĐẠT","LỆCH"))</f>
        <v>ĐẠT</v>
      </c>
      <c r="M5" s="12" t="str">
        <f>IF(LEN(F5)=0,"ĐẠT",IF(SUMPRODUCT(--(BAI_DO_XE!$A$2:$A$1000=F5))&gt;0,"ĐẠT","LỆCH"))</f>
        <v>ĐẠT</v>
      </c>
      <c r="N5" s="12" t="str">
        <f t="shared" si="1"/>
        <v>ĐẠT</v>
      </c>
    </row>
    <row r="6" spans="1:14" x14ac:dyDescent="0.2">
      <c r="A6" s="16" t="s">
        <v>222</v>
      </c>
      <c r="B6" s="16" t="s">
        <v>223</v>
      </c>
      <c r="C6" s="16" t="s">
        <v>224</v>
      </c>
      <c r="D6" s="16" t="s">
        <v>225</v>
      </c>
      <c r="E6" s="16" t="s">
        <v>226</v>
      </c>
      <c r="F6" s="16" t="s">
        <v>185</v>
      </c>
      <c r="G6" s="12" t="str">
        <f>IF(LEN(F6)=0,"Toàn chuỗi",INDEX(BAI_DO_XE!$B$2:$B$1000,MATCH(F6,BAI_DO_XE!$A$2:$A$1000,0)))</f>
        <v>Bãi xe Lê Lai - Bến Thành</v>
      </c>
      <c r="H6" s="17">
        <f>COUNTIF(TAI_KHOAN!$C$2:$C$1000,A6)</f>
        <v>2</v>
      </c>
      <c r="I6" s="12" t="str">
        <f>IF(SUMPRODUCT(--(NHAN_VIEN!$A$2:$A$1000=A6))=1,"ĐẠT","LỆCH")</f>
        <v>ĐẠT</v>
      </c>
      <c r="J6" s="12" t="str">
        <f t="shared" si="0"/>
        <v>ĐẠT</v>
      </c>
      <c r="K6" s="12" t="str">
        <f>IF(SUMPRODUCT(--(NHAN_VIEN!$D$2:$D$1000=D6))=1,"ĐẠT","LỆCH")</f>
        <v>ĐẠT</v>
      </c>
      <c r="L6" s="12" t="str">
        <f>IF(LEN(E6)=0,"ĐẠT",IF(SUMPRODUCT(--(NHAN_VIEN!$E$2:$E$1000=E6))=1,"ĐẠT","LỆCH"))</f>
        <v>ĐẠT</v>
      </c>
      <c r="M6" s="12" t="str">
        <f>IF(LEN(F6)=0,"ĐẠT",IF(SUMPRODUCT(--(BAI_DO_XE!$A$2:$A$1000=F6))&gt;0,"ĐẠT","LỆCH"))</f>
        <v>ĐẠT</v>
      </c>
      <c r="N6" s="12" t="str">
        <f t="shared" si="1"/>
        <v>ĐẠT</v>
      </c>
    </row>
    <row r="7" spans="1:14" x14ac:dyDescent="0.2">
      <c r="A7" s="16" t="s">
        <v>227</v>
      </c>
      <c r="B7" s="16" t="s">
        <v>228</v>
      </c>
      <c r="C7" s="16" t="s">
        <v>224</v>
      </c>
      <c r="D7" s="16" t="s">
        <v>229</v>
      </c>
      <c r="E7" s="16" t="s">
        <v>230</v>
      </c>
      <c r="F7" s="16" t="s">
        <v>188</v>
      </c>
      <c r="G7" s="12" t="str">
        <f>IF(LEN(F7)=0,"Toàn chuỗi",INDEX(BAI_DO_XE!$B$2:$B$1000,MATCH(F7,BAI_DO_XE!$A$2:$A$1000,0)))</f>
        <v>Bãi xe Hai Bà Trưng</v>
      </c>
      <c r="H7" s="17">
        <f>COUNTIF(TAI_KHOAN!$C$2:$C$1000,A7)</f>
        <v>1</v>
      </c>
      <c r="I7" s="12" t="str">
        <f>IF(SUMPRODUCT(--(NHAN_VIEN!$A$2:$A$1000=A7))=1,"ĐẠT","LỆCH")</f>
        <v>ĐẠT</v>
      </c>
      <c r="J7" s="12" t="str">
        <f t="shared" si="0"/>
        <v>ĐẠT</v>
      </c>
      <c r="K7" s="12" t="str">
        <f>IF(SUMPRODUCT(--(NHAN_VIEN!$D$2:$D$1000=D7))=1,"ĐẠT","LỆCH")</f>
        <v>ĐẠT</v>
      </c>
      <c r="L7" s="12" t="str">
        <f>IF(LEN(E7)=0,"ĐẠT",IF(SUMPRODUCT(--(NHAN_VIEN!$E$2:$E$1000=E7))=1,"ĐẠT","LỆCH"))</f>
        <v>ĐẠT</v>
      </c>
      <c r="M7" s="12" t="str">
        <f>IF(LEN(F7)=0,"ĐẠT",IF(SUMPRODUCT(--(BAI_DO_XE!$A$2:$A$1000=F7))&gt;0,"ĐẠT","LỆCH"))</f>
        <v>ĐẠT</v>
      </c>
      <c r="N7" s="12" t="str">
        <f t="shared" si="1"/>
        <v>ĐẠT</v>
      </c>
    </row>
    <row r="8" spans="1:14" x14ac:dyDescent="0.2">
      <c r="A8" s="16" t="s">
        <v>231</v>
      </c>
      <c r="B8" s="16" t="s">
        <v>232</v>
      </c>
      <c r="C8" s="16" t="s">
        <v>224</v>
      </c>
      <c r="D8" s="16" t="s">
        <v>233</v>
      </c>
      <c r="E8" s="16" t="s">
        <v>234</v>
      </c>
      <c r="F8" s="16" t="s">
        <v>182</v>
      </c>
      <c r="G8" s="12" t="str">
        <f>IF(LEN(F8)=0,"Toàn chuỗi",INDEX(BAI_DO_XE!$B$2:$B$1000,MATCH(F8,BAI_DO_XE!$A$2:$A$1000,0)))</f>
        <v>Bãi xe Landmark 81</v>
      </c>
      <c r="H8" s="17">
        <f>COUNTIF(TAI_KHOAN!$C$2:$C$1000,A8)</f>
        <v>1</v>
      </c>
      <c r="I8" s="12" t="str">
        <f>IF(SUMPRODUCT(--(NHAN_VIEN!$A$2:$A$1000=A8))=1,"ĐẠT","LỆCH")</f>
        <v>ĐẠT</v>
      </c>
      <c r="J8" s="12" t="str">
        <f t="shared" si="0"/>
        <v>ĐẠT</v>
      </c>
      <c r="K8" s="12" t="str">
        <f>IF(SUMPRODUCT(--(NHAN_VIEN!$D$2:$D$1000=D8))=1,"ĐẠT","LỆCH")</f>
        <v>ĐẠT</v>
      </c>
      <c r="L8" s="12" t="str">
        <f>IF(LEN(E8)=0,"ĐẠT",IF(SUMPRODUCT(--(NHAN_VIEN!$E$2:$E$1000=E8))=1,"ĐẠT","LỆCH"))</f>
        <v>ĐẠT</v>
      </c>
      <c r="M8" s="12" t="str">
        <f>IF(LEN(F8)=0,"ĐẠT",IF(SUMPRODUCT(--(BAI_DO_XE!$A$2:$A$1000=F8))&gt;0,"ĐẠT","LỆCH"))</f>
        <v>ĐẠT</v>
      </c>
      <c r="N8" s="12" t="str">
        <f t="shared" si="1"/>
        <v>ĐẠT</v>
      </c>
    </row>
    <row r="9" spans="1:14" x14ac:dyDescent="0.2">
      <c r="A9" s="16" t="s">
        <v>235</v>
      </c>
      <c r="B9" s="16" t="s">
        <v>236</v>
      </c>
      <c r="C9" s="16" t="s">
        <v>211</v>
      </c>
      <c r="D9" s="16" t="s">
        <v>237</v>
      </c>
      <c r="E9" s="16" t="s">
        <v>238</v>
      </c>
      <c r="F9" s="16" t="s">
        <v>194</v>
      </c>
      <c r="G9" s="12" t="str">
        <f>IF(LEN(F9)=0,"Toàn chuỗi",INDEX(BAI_DO_XE!$B$2:$B$1000,MATCH(F9,BAI_DO_XE!$A$2:$A$1000,0)))</f>
        <v>Bãi xe TCP Park - Sân bay Tân Sơn Nhất</v>
      </c>
      <c r="H9" s="17">
        <f>COUNTIF(TAI_KHOAN!$C$2:$C$1000,A9)</f>
        <v>1</v>
      </c>
      <c r="I9" s="12" t="str">
        <f>IF(SUMPRODUCT(--(NHAN_VIEN!$A$2:$A$1000=A9))=1,"ĐẠT","LỆCH")</f>
        <v>ĐẠT</v>
      </c>
      <c r="J9" s="12" t="str">
        <f t="shared" si="0"/>
        <v>ĐẠT</v>
      </c>
      <c r="K9" s="12" t="str">
        <f>IF(SUMPRODUCT(--(NHAN_VIEN!$D$2:$D$1000=D9))=1,"ĐẠT","LỆCH")</f>
        <v>ĐẠT</v>
      </c>
      <c r="L9" s="12" t="str">
        <f>IF(LEN(E9)=0,"ĐẠT",IF(SUMPRODUCT(--(NHAN_VIEN!$E$2:$E$1000=E9))=1,"ĐẠT","LỆCH"))</f>
        <v>ĐẠT</v>
      </c>
      <c r="M9" s="12" t="str">
        <f>IF(LEN(F9)=0,"ĐẠT",IF(SUMPRODUCT(--(BAI_DO_XE!$A$2:$A$1000=F9))&gt;0,"ĐẠT","LỆCH"))</f>
        <v>ĐẠT</v>
      </c>
      <c r="N9" s="12" t="str">
        <f t="shared" si="1"/>
        <v>ĐẠT</v>
      </c>
    </row>
    <row r="10" spans="1:14" x14ac:dyDescent="0.2">
      <c r="A10" s="16" t="s">
        <v>239</v>
      </c>
      <c r="B10" s="16" t="s">
        <v>240</v>
      </c>
      <c r="C10" s="16" t="s">
        <v>211</v>
      </c>
      <c r="D10" s="16" t="s">
        <v>241</v>
      </c>
      <c r="E10" s="16" t="s">
        <v>242</v>
      </c>
      <c r="F10" s="16" t="s">
        <v>191</v>
      </c>
      <c r="G10" s="12" t="str">
        <f>IF(LEN(F10)=0,"Toàn chuỗi",INDEX(BAI_DO_XE!$B$2:$B$1000,MATCH(F10,BAI_DO_XE!$A$2:$A$1000,0)))</f>
        <v>Bãi xe SC VivoCity</v>
      </c>
      <c r="H10" s="17">
        <f>COUNTIF(TAI_KHOAN!$C$2:$C$1000,A10)</f>
        <v>1</v>
      </c>
      <c r="I10" s="12" t="str">
        <f>IF(SUMPRODUCT(--(NHAN_VIEN!$A$2:$A$1000=A10))=1,"ĐẠT","LỆCH")</f>
        <v>ĐẠT</v>
      </c>
      <c r="J10" s="12" t="str">
        <f t="shared" si="0"/>
        <v>ĐẠT</v>
      </c>
      <c r="K10" s="12" t="str">
        <f>IF(SUMPRODUCT(--(NHAN_VIEN!$D$2:$D$1000=D10))=1,"ĐẠT","LỆCH")</f>
        <v>ĐẠT</v>
      </c>
      <c r="L10" s="12" t="str">
        <f>IF(LEN(E10)=0,"ĐẠT",IF(SUMPRODUCT(--(NHAN_VIEN!$E$2:$E$1000=E10))=1,"ĐẠT","LỆCH"))</f>
        <v>ĐẠT</v>
      </c>
      <c r="M10" s="12" t="str">
        <f>IF(LEN(F10)=0,"ĐẠT",IF(SUMPRODUCT(--(BAI_DO_XE!$A$2:$A$1000=F10))&gt;0,"ĐẠT","LỆCH"))</f>
        <v>ĐẠT</v>
      </c>
      <c r="N10" s="12" t="str">
        <f t="shared" si="1"/>
        <v>ĐẠT</v>
      </c>
    </row>
    <row r="11" spans="1:14" x14ac:dyDescent="0.2">
      <c r="A11" s="16" t="s">
        <v>243</v>
      </c>
      <c r="B11" s="16" t="s">
        <v>244</v>
      </c>
      <c r="C11" s="16" t="s">
        <v>224</v>
      </c>
      <c r="D11" s="16" t="s">
        <v>245</v>
      </c>
      <c r="E11" s="16" t="s">
        <v>246</v>
      </c>
      <c r="F11" s="16" t="s">
        <v>194</v>
      </c>
      <c r="G11" s="12" t="str">
        <f>IF(LEN(F11)=0,"Toàn chuỗi",INDEX(BAI_DO_XE!$B$2:$B$1000,MATCH(F11,BAI_DO_XE!$A$2:$A$1000,0)))</f>
        <v>Bãi xe TCP Park - Sân bay Tân Sơn Nhất</v>
      </c>
      <c r="H11" s="17">
        <f>COUNTIF(TAI_KHOAN!$C$2:$C$1000,A11)</f>
        <v>1</v>
      </c>
      <c r="I11" s="12" t="str">
        <f>IF(SUMPRODUCT(--(NHAN_VIEN!$A$2:$A$1000=A11))=1,"ĐẠT","LỆCH")</f>
        <v>ĐẠT</v>
      </c>
      <c r="J11" s="12" t="str">
        <f t="shared" si="0"/>
        <v>ĐẠT</v>
      </c>
      <c r="K11" s="12" t="str">
        <f>IF(SUMPRODUCT(--(NHAN_VIEN!$D$2:$D$1000=D11))=1,"ĐẠT","LỆCH")</f>
        <v>ĐẠT</v>
      </c>
      <c r="L11" s="12" t="str">
        <f>IF(LEN(E11)=0,"ĐẠT",IF(SUMPRODUCT(--(NHAN_VIEN!$E$2:$E$1000=E11))=1,"ĐẠT","LỆCH"))</f>
        <v>ĐẠT</v>
      </c>
      <c r="M11" s="12" t="str">
        <f>IF(LEN(F11)=0,"ĐẠT",IF(SUMPRODUCT(--(BAI_DO_XE!$A$2:$A$1000=F11))&gt;0,"ĐẠT","LỆCH"))</f>
        <v>ĐẠT</v>
      </c>
      <c r="N11" s="12" t="str">
        <f t="shared" si="1"/>
        <v>ĐẠT</v>
      </c>
    </row>
    <row r="12" spans="1:14" x14ac:dyDescent="0.2">
      <c r="A12" s="16" t="s">
        <v>247</v>
      </c>
      <c r="B12" s="16" t="s">
        <v>248</v>
      </c>
      <c r="C12" s="16" t="s">
        <v>224</v>
      </c>
      <c r="D12" s="16" t="s">
        <v>249</v>
      </c>
      <c r="E12" s="16" t="s">
        <v>250</v>
      </c>
      <c r="F12" s="16" t="s">
        <v>191</v>
      </c>
      <c r="G12" s="12" t="str">
        <f>IF(LEN(F12)=0,"Toàn chuỗi",INDEX(BAI_DO_XE!$B$2:$B$1000,MATCH(F12,BAI_DO_XE!$A$2:$A$1000,0)))</f>
        <v>Bãi xe SC VivoCity</v>
      </c>
      <c r="H12" s="17">
        <f>COUNTIF(TAI_KHOAN!$C$2:$C$1000,A12)</f>
        <v>1</v>
      </c>
      <c r="I12" s="12" t="str">
        <f>IF(SUMPRODUCT(--(NHAN_VIEN!$A$2:$A$1000=A12))=1,"ĐẠT","LỆCH")</f>
        <v>ĐẠT</v>
      </c>
      <c r="J12" s="12" t="str">
        <f t="shared" si="0"/>
        <v>ĐẠT</v>
      </c>
      <c r="K12" s="12" t="str">
        <f>IF(SUMPRODUCT(--(NHAN_VIEN!$D$2:$D$1000=D12))=1,"ĐẠT","LỆCH")</f>
        <v>ĐẠT</v>
      </c>
      <c r="L12" s="12" t="str">
        <f>IF(LEN(E12)=0,"ĐẠT",IF(SUMPRODUCT(--(NHAN_VIEN!$E$2:$E$1000=E12))=1,"ĐẠT","LỆCH"))</f>
        <v>ĐẠT</v>
      </c>
      <c r="M12" s="12" t="str">
        <f>IF(LEN(F12)=0,"ĐẠT",IF(SUMPRODUCT(--(BAI_DO_XE!$A$2:$A$1000=F12))&gt;0,"ĐẠT","LỆCH"))</f>
        <v>ĐẠT</v>
      </c>
      <c r="N12" s="12" t="str">
        <f t="shared" si="1"/>
        <v>ĐẠT</v>
      </c>
    </row>
  </sheetData>
  <autoFilter ref="A1:N12" xr:uid="{00000000-0009-0000-0000-000005000000}"/>
  <conditionalFormatting sqref="I2:N1000">
    <cfRule type="cellIs" dxfId="19" priority="2" operator="equal">
      <formula>"LỆCH"</formula>
    </cfRule>
    <cfRule type="cellIs" dxfId="18" priority="3" operator="equal">
      <formula>"ĐẠT"</formula>
    </cfRule>
  </conditionalFormatting>
  <dataValidations count="5">
    <dataValidation type="textLength" operator="lessThanOrEqual" showErrorMessage="1" errorTitle="Dữ liệu không hợp lệ" error="Tối đa 10 ký tự (VARCHAR/NVARCHAR(10))" sqref="A2:A1000" xr:uid="{00000000-0002-0000-0500-000000000000}">
      <formula1>10</formula1>
      <formula2>0</formula2>
    </dataValidation>
    <dataValidation type="textLength" operator="lessThanOrEqual" showErrorMessage="1" errorTitle="Dữ liệu không hợp lệ" error="Tối đa 100 ký tự (VARCHAR/NVARCHAR(100))" sqref="B2:B1000" xr:uid="{00000000-0002-0000-0500-000001000000}">
      <formula1>100</formula1>
      <formula2>0</formula2>
    </dataValidation>
    <dataValidation type="textLength" operator="lessThanOrEqual" showErrorMessage="1" errorTitle="Dữ liệu không hợp lệ" error="Tối đa 15 ký tự (VARCHAR/NVARCHAR(15))" sqref="D2:D1000" xr:uid="{00000000-0002-0000-0500-000002000000}">
      <formula1>15</formula1>
      <formula2>0</formula2>
    </dataValidation>
    <dataValidation type="textLength" operator="lessThanOrEqual" allowBlank="1" showErrorMessage="1" errorTitle="Dữ liệu không hợp lệ" error="Tối đa 100 ký tự (VARCHAR/NVARCHAR(100))" sqref="E2:E1000" xr:uid="{00000000-0002-0000-0500-000003000000}">
      <formula1>100</formula1>
      <formula2>0</formula2>
    </dataValidation>
    <dataValidation type="list" showErrorMessage="1" errorTitle="Dữ liệu không hợp lệ" error="Chỉ chọn: Giám đốc điều hành, Quản lý bãi, Bảo vệ" sqref="C2:C1000" xr:uid="{00000000-0002-0000-0500-000004000000}">
      <formula1>"Giám đốc điều hành,Quản lý bãi,Bảo vệ"</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showErrorMessage="1" errorTitle="Dữ liệu không hợp lệ" error="Giá trị phải tồn tại ở BAI_DO_XE.MaBai" xr:uid="{00000000-0002-0000-0500-000005000000}">
          <x14:formula1>
            <xm:f>BAI_DO_XE!$A$2:$A$1000</xm:f>
          </x14:formula1>
          <x14:formula2>
            <xm:f>0</xm:f>
          </x14:formula2>
          <xm:sqref>F2:F1000</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3"/>
  <sheetViews>
    <sheetView zoomScaleNormal="100" workbookViewId="0">
      <pane xSplit="1" ySplit="1" topLeftCell="B4" activePane="bottomRight" state="frozen"/>
      <selection pane="topRight" activeCell="B1" sqref="B1"/>
      <selection pane="bottomLeft" activeCell="A2" sqref="A2"/>
      <selection pane="bottomRight"/>
    </sheetView>
  </sheetViews>
  <sheetFormatPr baseColWidth="10" defaultColWidth="8.5" defaultRowHeight="15" x14ac:dyDescent="0.2"/>
  <cols>
    <col min="1" max="1" width="15" customWidth="1"/>
    <col min="2" max="2" width="60" customWidth="1"/>
    <col min="3" max="3" width="12" customWidth="1"/>
    <col min="4" max="4" width="13" customWidth="1"/>
    <col min="5" max="5" width="14" customWidth="1"/>
    <col min="6" max="7" width="12" customWidth="1"/>
    <col min="8" max="8" width="18" customWidth="1"/>
    <col min="9" max="9" width="12" customWidth="1"/>
    <col min="10" max="10" width="14" customWidth="1"/>
    <col min="11" max="11" width="16" customWidth="1"/>
  </cols>
  <sheetData>
    <row r="1" spans="1:11" ht="33.75" customHeight="1" x14ac:dyDescent="0.2">
      <c r="A1" s="13" t="s">
        <v>251</v>
      </c>
      <c r="B1" s="13" t="s">
        <v>252</v>
      </c>
      <c r="C1" s="13" t="s">
        <v>197</v>
      </c>
      <c r="D1" s="13" t="s">
        <v>253</v>
      </c>
      <c r="E1" s="20" t="s">
        <v>254</v>
      </c>
      <c r="F1" s="15" t="s">
        <v>198</v>
      </c>
      <c r="G1" s="15" t="s">
        <v>199</v>
      </c>
      <c r="H1" s="15" t="s">
        <v>255</v>
      </c>
      <c r="I1" s="15" t="s">
        <v>56</v>
      </c>
      <c r="J1" s="15" t="s">
        <v>79</v>
      </c>
      <c r="K1" s="15" t="s">
        <v>81</v>
      </c>
    </row>
    <row r="2" spans="1:11" x14ac:dyDescent="0.2">
      <c r="A2" s="16" t="s">
        <v>256</v>
      </c>
      <c r="B2" s="16" t="s">
        <v>257</v>
      </c>
      <c r="C2" s="16" t="s">
        <v>204</v>
      </c>
      <c r="D2" s="16" t="s">
        <v>258</v>
      </c>
      <c r="E2" s="16" t="s">
        <v>259</v>
      </c>
      <c r="F2" s="12" t="str">
        <f>INDEX(NHAN_VIEN!$B$2:$B$1000,MATCH(C2,NHAN_VIEN!$A$2:$A$1000,0))</f>
        <v>Nguyễn Hữu Trí</v>
      </c>
      <c r="G2" s="12" t="str">
        <f>INDEX(NHAN_VIEN!$C$2:$C$1000,MATCH(C2,NHAN_VIEN!$A$2:$A$1000,0))</f>
        <v>Giám đốc điều hành</v>
      </c>
      <c r="H2" s="12" t="str">
        <f t="shared" ref="H2:H13" si="0">IF(D2="Hoạt động","Đăng nhập được (nếu đúng mật khẩu)","CHẶN 50021 - Tài khoản bị khóa")</f>
        <v>Đăng nhập được (nếu đúng mật khẩu)</v>
      </c>
      <c r="I2" s="12" t="str">
        <f>IF(SUMPRODUCT(--(TAI_KHOAN!$A$2:$A$1000=A2))=1,"ĐẠT","LỆCH")</f>
        <v>ĐẠT</v>
      </c>
      <c r="J2" s="12" t="str">
        <f>IF(SUMPRODUCT(--(NHAN_VIEN!$A$2:$A$1000=C2))&gt;0,"ĐẠT","LỆCH")</f>
        <v>ĐẠT</v>
      </c>
      <c r="K2" s="12" t="str">
        <f t="shared" ref="K2:K13" si="1">IF(LEN(B2)=64,"ĐẠT","LỆCH")</f>
        <v>ĐẠT</v>
      </c>
    </row>
    <row r="3" spans="1:11" x14ac:dyDescent="0.2">
      <c r="A3" s="16" t="s">
        <v>260</v>
      </c>
      <c r="B3" s="16" t="s">
        <v>261</v>
      </c>
      <c r="C3" s="16" t="s">
        <v>209</v>
      </c>
      <c r="D3" s="16" t="s">
        <v>258</v>
      </c>
      <c r="E3" s="16" t="s">
        <v>262</v>
      </c>
      <c r="F3" s="12" t="str">
        <f>INDEX(NHAN_VIEN!$B$2:$B$1000,MATCH(C3,NHAN_VIEN!$A$2:$A$1000,0))</f>
        <v>Trần Văn Hùng</v>
      </c>
      <c r="G3" s="12" t="str">
        <f>INDEX(NHAN_VIEN!$C$2:$C$1000,MATCH(C3,NHAN_VIEN!$A$2:$A$1000,0))</f>
        <v>Quản lý bãi</v>
      </c>
      <c r="H3" s="12" t="str">
        <f t="shared" si="0"/>
        <v>Đăng nhập được (nếu đúng mật khẩu)</v>
      </c>
      <c r="I3" s="12" t="str">
        <f>IF(SUMPRODUCT(--(TAI_KHOAN!$A$2:$A$1000=A3))=1,"ĐẠT","LỆCH")</f>
        <v>ĐẠT</v>
      </c>
      <c r="J3" s="12" t="str">
        <f>IF(SUMPRODUCT(--(NHAN_VIEN!$A$2:$A$1000=C3))&gt;0,"ĐẠT","LỆCH")</f>
        <v>ĐẠT</v>
      </c>
      <c r="K3" s="12" t="str">
        <f t="shared" si="1"/>
        <v>ĐẠT</v>
      </c>
    </row>
    <row r="4" spans="1:11" x14ac:dyDescent="0.2">
      <c r="A4" s="16" t="s">
        <v>263</v>
      </c>
      <c r="B4" s="16" t="s">
        <v>261</v>
      </c>
      <c r="C4" s="16" t="s">
        <v>214</v>
      </c>
      <c r="D4" s="16" t="s">
        <v>258</v>
      </c>
      <c r="E4" s="16" t="s">
        <v>262</v>
      </c>
      <c r="F4" s="12" t="str">
        <f>INDEX(NHAN_VIEN!$B$2:$B$1000,MATCH(C4,NHAN_VIEN!$A$2:$A$1000,0))</f>
        <v>Lê Thị Bích Ngọc</v>
      </c>
      <c r="G4" s="12" t="str">
        <f>INDEX(NHAN_VIEN!$C$2:$C$1000,MATCH(C4,NHAN_VIEN!$A$2:$A$1000,0))</f>
        <v>Quản lý bãi</v>
      </c>
      <c r="H4" s="12" t="str">
        <f t="shared" si="0"/>
        <v>Đăng nhập được (nếu đúng mật khẩu)</v>
      </c>
      <c r="I4" s="12" t="str">
        <f>IF(SUMPRODUCT(--(TAI_KHOAN!$A$2:$A$1000=A4))=1,"ĐẠT","LỆCH")</f>
        <v>ĐẠT</v>
      </c>
      <c r="J4" s="12" t="str">
        <f>IF(SUMPRODUCT(--(NHAN_VIEN!$A$2:$A$1000=C4))&gt;0,"ĐẠT","LỆCH")</f>
        <v>ĐẠT</v>
      </c>
      <c r="K4" s="12" t="str">
        <f t="shared" si="1"/>
        <v>ĐẠT</v>
      </c>
    </row>
    <row r="5" spans="1:11" x14ac:dyDescent="0.2">
      <c r="A5" s="16" t="s">
        <v>264</v>
      </c>
      <c r="B5" s="16" t="s">
        <v>261</v>
      </c>
      <c r="C5" s="16" t="s">
        <v>218</v>
      </c>
      <c r="D5" s="16" t="s">
        <v>258</v>
      </c>
      <c r="E5" s="16" t="s">
        <v>262</v>
      </c>
      <c r="F5" s="12" t="str">
        <f>INDEX(NHAN_VIEN!$B$2:$B$1000,MATCH(C5,NHAN_VIEN!$A$2:$A$1000,0))</f>
        <v>Hoàng Đình Nam</v>
      </c>
      <c r="G5" s="12" t="str">
        <f>INDEX(NHAN_VIEN!$C$2:$C$1000,MATCH(C5,NHAN_VIEN!$A$2:$A$1000,0))</f>
        <v>Quản lý bãi</v>
      </c>
      <c r="H5" s="12" t="str">
        <f t="shared" si="0"/>
        <v>Đăng nhập được (nếu đúng mật khẩu)</v>
      </c>
      <c r="I5" s="12" t="str">
        <f>IF(SUMPRODUCT(--(TAI_KHOAN!$A$2:$A$1000=A5))=1,"ĐẠT","LỆCH")</f>
        <v>ĐẠT</v>
      </c>
      <c r="J5" s="12" t="str">
        <f>IF(SUMPRODUCT(--(NHAN_VIEN!$A$2:$A$1000=C5))&gt;0,"ĐẠT","LỆCH")</f>
        <v>ĐẠT</v>
      </c>
      <c r="K5" s="12" t="str">
        <f t="shared" si="1"/>
        <v>ĐẠT</v>
      </c>
    </row>
    <row r="6" spans="1:11" x14ac:dyDescent="0.2">
      <c r="A6" s="16" t="s">
        <v>265</v>
      </c>
      <c r="B6" s="16" t="s">
        <v>261</v>
      </c>
      <c r="C6" s="16" t="s">
        <v>222</v>
      </c>
      <c r="D6" s="16" t="s">
        <v>266</v>
      </c>
      <c r="E6" s="16" t="s">
        <v>262</v>
      </c>
      <c r="F6" s="12" t="str">
        <f>INDEX(NHAN_VIEN!$B$2:$B$1000,MATCH(C6,NHAN_VIEN!$A$2:$A$1000,0))</f>
        <v>Phạm Văn Cường</v>
      </c>
      <c r="G6" s="12" t="str">
        <f>INDEX(NHAN_VIEN!$C$2:$C$1000,MATCH(C6,NHAN_VIEN!$A$2:$A$1000,0))</f>
        <v>Bảo vệ</v>
      </c>
      <c r="H6" s="12" t="str">
        <f t="shared" si="0"/>
        <v>CHẶN 50021 - Tài khoản bị khóa</v>
      </c>
      <c r="I6" s="12" t="str">
        <f>IF(SUMPRODUCT(--(TAI_KHOAN!$A$2:$A$1000=A6))=1,"ĐẠT","LỆCH")</f>
        <v>ĐẠT</v>
      </c>
      <c r="J6" s="12" t="str">
        <f>IF(SUMPRODUCT(--(NHAN_VIEN!$A$2:$A$1000=C6))&gt;0,"ĐẠT","LỆCH")</f>
        <v>ĐẠT</v>
      </c>
      <c r="K6" s="12" t="str">
        <f t="shared" si="1"/>
        <v>ĐẠT</v>
      </c>
    </row>
    <row r="7" spans="1:11" x14ac:dyDescent="0.2">
      <c r="A7" s="16" t="s">
        <v>267</v>
      </c>
      <c r="B7" s="16" t="s">
        <v>261</v>
      </c>
      <c r="C7" s="16" t="s">
        <v>222</v>
      </c>
      <c r="D7" s="16" t="s">
        <v>258</v>
      </c>
      <c r="E7" s="16" t="s">
        <v>262</v>
      </c>
      <c r="F7" s="12" t="str">
        <f>INDEX(NHAN_VIEN!$B$2:$B$1000,MATCH(C7,NHAN_VIEN!$A$2:$A$1000,0))</f>
        <v>Phạm Văn Cường</v>
      </c>
      <c r="G7" s="12" t="str">
        <f>INDEX(NHAN_VIEN!$C$2:$C$1000,MATCH(C7,NHAN_VIEN!$A$2:$A$1000,0))</f>
        <v>Bảo vệ</v>
      </c>
      <c r="H7" s="12" t="str">
        <f t="shared" si="0"/>
        <v>Đăng nhập được (nếu đúng mật khẩu)</v>
      </c>
      <c r="I7" s="12" t="str">
        <f>IF(SUMPRODUCT(--(TAI_KHOAN!$A$2:$A$1000=A7))=1,"ĐẠT","LỆCH")</f>
        <v>ĐẠT</v>
      </c>
      <c r="J7" s="12" t="str">
        <f>IF(SUMPRODUCT(--(NHAN_VIEN!$A$2:$A$1000=C7))&gt;0,"ĐẠT","LỆCH")</f>
        <v>ĐẠT</v>
      </c>
      <c r="K7" s="12" t="str">
        <f t="shared" si="1"/>
        <v>ĐẠT</v>
      </c>
    </row>
    <row r="8" spans="1:11" x14ac:dyDescent="0.2">
      <c r="A8" s="16" t="s">
        <v>268</v>
      </c>
      <c r="B8" s="16" t="s">
        <v>261</v>
      </c>
      <c r="C8" s="16" t="s">
        <v>227</v>
      </c>
      <c r="D8" s="16" t="s">
        <v>258</v>
      </c>
      <c r="E8" s="16" t="s">
        <v>262</v>
      </c>
      <c r="F8" s="12" t="str">
        <f>INDEX(NHAN_VIEN!$B$2:$B$1000,MATCH(C8,NHAN_VIEN!$A$2:$A$1000,0))</f>
        <v>Đặng Minh Tuấn</v>
      </c>
      <c r="G8" s="12" t="str">
        <f>INDEX(NHAN_VIEN!$C$2:$C$1000,MATCH(C8,NHAN_VIEN!$A$2:$A$1000,0))</f>
        <v>Bảo vệ</v>
      </c>
      <c r="H8" s="12" t="str">
        <f t="shared" si="0"/>
        <v>Đăng nhập được (nếu đúng mật khẩu)</v>
      </c>
      <c r="I8" s="12" t="str">
        <f>IF(SUMPRODUCT(--(TAI_KHOAN!$A$2:$A$1000=A8))=1,"ĐẠT","LỆCH")</f>
        <v>ĐẠT</v>
      </c>
      <c r="J8" s="12" t="str">
        <f>IF(SUMPRODUCT(--(NHAN_VIEN!$A$2:$A$1000=C8))&gt;0,"ĐẠT","LỆCH")</f>
        <v>ĐẠT</v>
      </c>
      <c r="K8" s="12" t="str">
        <f t="shared" si="1"/>
        <v>ĐẠT</v>
      </c>
    </row>
    <row r="9" spans="1:11" x14ac:dyDescent="0.2">
      <c r="A9" s="16" t="s">
        <v>269</v>
      </c>
      <c r="B9" s="16" t="s">
        <v>261</v>
      </c>
      <c r="C9" s="16" t="s">
        <v>231</v>
      </c>
      <c r="D9" s="16" t="s">
        <v>258</v>
      </c>
      <c r="E9" s="16" t="s">
        <v>262</v>
      </c>
      <c r="F9" s="12" t="str">
        <f>INDEX(NHAN_VIEN!$B$2:$B$1000,MATCH(C9,NHAN_VIEN!$A$2:$A$1000,0))</f>
        <v>Vũ Đức Thắng</v>
      </c>
      <c r="G9" s="12" t="str">
        <f>INDEX(NHAN_VIEN!$C$2:$C$1000,MATCH(C9,NHAN_VIEN!$A$2:$A$1000,0))</f>
        <v>Bảo vệ</v>
      </c>
      <c r="H9" s="12" t="str">
        <f t="shared" si="0"/>
        <v>Đăng nhập được (nếu đúng mật khẩu)</v>
      </c>
      <c r="I9" s="12" t="str">
        <f>IF(SUMPRODUCT(--(TAI_KHOAN!$A$2:$A$1000=A9))=1,"ĐẠT","LỆCH")</f>
        <v>ĐẠT</v>
      </c>
      <c r="J9" s="12" t="str">
        <f>IF(SUMPRODUCT(--(NHAN_VIEN!$A$2:$A$1000=C9))&gt;0,"ĐẠT","LỆCH")</f>
        <v>ĐẠT</v>
      </c>
      <c r="K9" s="12" t="str">
        <f t="shared" si="1"/>
        <v>ĐẠT</v>
      </c>
    </row>
    <row r="10" spans="1:11" x14ac:dyDescent="0.2">
      <c r="A10" s="16" t="s">
        <v>270</v>
      </c>
      <c r="B10" s="16" t="s">
        <v>261</v>
      </c>
      <c r="C10" s="16" t="s">
        <v>235</v>
      </c>
      <c r="D10" s="16" t="s">
        <v>258</v>
      </c>
      <c r="E10" s="16" t="s">
        <v>262</v>
      </c>
      <c r="F10" s="12" t="str">
        <f>INDEX(NHAN_VIEN!$B$2:$B$1000,MATCH(C10,NHAN_VIEN!$A$2:$A$1000,0))</f>
        <v>Huỳnh Quốc Bảo</v>
      </c>
      <c r="G10" s="12" t="str">
        <f>INDEX(NHAN_VIEN!$C$2:$C$1000,MATCH(C10,NHAN_VIEN!$A$2:$A$1000,0))</f>
        <v>Quản lý bãi</v>
      </c>
      <c r="H10" s="12" t="str">
        <f t="shared" si="0"/>
        <v>Đăng nhập được (nếu đúng mật khẩu)</v>
      </c>
      <c r="I10" s="12" t="str">
        <f>IF(SUMPRODUCT(--(TAI_KHOAN!$A$2:$A$1000=A10))=1,"ĐẠT","LỆCH")</f>
        <v>ĐẠT</v>
      </c>
      <c r="J10" s="12" t="str">
        <f>IF(SUMPRODUCT(--(NHAN_VIEN!$A$2:$A$1000=C10))&gt;0,"ĐẠT","LỆCH")</f>
        <v>ĐẠT</v>
      </c>
      <c r="K10" s="12" t="str">
        <f t="shared" si="1"/>
        <v>ĐẠT</v>
      </c>
    </row>
    <row r="11" spans="1:11" x14ac:dyDescent="0.2">
      <c r="A11" s="16" t="s">
        <v>271</v>
      </c>
      <c r="B11" s="16" t="s">
        <v>261</v>
      </c>
      <c r="C11" s="16" t="s">
        <v>239</v>
      </c>
      <c r="D11" s="16" t="s">
        <v>258</v>
      </c>
      <c r="E11" s="16" t="s">
        <v>262</v>
      </c>
      <c r="F11" s="12" t="str">
        <f>INDEX(NHAN_VIEN!$B$2:$B$1000,MATCH(C11,NHAN_VIEN!$A$2:$A$1000,0))</f>
        <v>Ngô Thị Thanh Hà</v>
      </c>
      <c r="G11" s="12" t="str">
        <f>INDEX(NHAN_VIEN!$C$2:$C$1000,MATCH(C11,NHAN_VIEN!$A$2:$A$1000,0))</f>
        <v>Quản lý bãi</v>
      </c>
      <c r="H11" s="12" t="str">
        <f t="shared" si="0"/>
        <v>Đăng nhập được (nếu đúng mật khẩu)</v>
      </c>
      <c r="I11" s="12" t="str">
        <f>IF(SUMPRODUCT(--(TAI_KHOAN!$A$2:$A$1000=A11))=1,"ĐẠT","LỆCH")</f>
        <v>ĐẠT</v>
      </c>
      <c r="J11" s="12" t="str">
        <f>IF(SUMPRODUCT(--(NHAN_VIEN!$A$2:$A$1000=C11))&gt;0,"ĐẠT","LỆCH")</f>
        <v>ĐẠT</v>
      </c>
      <c r="K11" s="12" t="str">
        <f t="shared" si="1"/>
        <v>ĐẠT</v>
      </c>
    </row>
    <row r="12" spans="1:11" x14ac:dyDescent="0.2">
      <c r="A12" s="16" t="s">
        <v>272</v>
      </c>
      <c r="B12" s="16" t="s">
        <v>261</v>
      </c>
      <c r="C12" s="16" t="s">
        <v>243</v>
      </c>
      <c r="D12" s="16" t="s">
        <v>258</v>
      </c>
      <c r="E12" s="16" t="s">
        <v>262</v>
      </c>
      <c r="F12" s="12" t="str">
        <f>INDEX(NHAN_VIEN!$B$2:$B$1000,MATCH(C12,NHAN_VIEN!$A$2:$A$1000,0))</f>
        <v>Trương Văn Lộc</v>
      </c>
      <c r="G12" s="12" t="str">
        <f>INDEX(NHAN_VIEN!$C$2:$C$1000,MATCH(C12,NHAN_VIEN!$A$2:$A$1000,0))</f>
        <v>Bảo vệ</v>
      </c>
      <c r="H12" s="12" t="str">
        <f t="shared" si="0"/>
        <v>Đăng nhập được (nếu đúng mật khẩu)</v>
      </c>
      <c r="I12" s="12" t="str">
        <f>IF(SUMPRODUCT(--(TAI_KHOAN!$A$2:$A$1000=A12))=1,"ĐẠT","LỆCH")</f>
        <v>ĐẠT</v>
      </c>
      <c r="J12" s="12" t="str">
        <f>IF(SUMPRODUCT(--(NHAN_VIEN!$A$2:$A$1000=C12))&gt;0,"ĐẠT","LỆCH")</f>
        <v>ĐẠT</v>
      </c>
      <c r="K12" s="12" t="str">
        <f t="shared" si="1"/>
        <v>ĐẠT</v>
      </c>
    </row>
    <row r="13" spans="1:11" x14ac:dyDescent="0.2">
      <c r="A13" s="16" t="s">
        <v>273</v>
      </c>
      <c r="B13" s="16" t="s">
        <v>261</v>
      </c>
      <c r="C13" s="16" t="s">
        <v>247</v>
      </c>
      <c r="D13" s="16" t="s">
        <v>258</v>
      </c>
      <c r="E13" s="16" t="s">
        <v>262</v>
      </c>
      <c r="F13" s="12" t="str">
        <f>INDEX(NHAN_VIEN!$B$2:$B$1000,MATCH(C13,NHAN_VIEN!$A$2:$A$1000,0))</f>
        <v>Bùi Thành Đạt</v>
      </c>
      <c r="G13" s="12" t="str">
        <f>INDEX(NHAN_VIEN!$C$2:$C$1000,MATCH(C13,NHAN_VIEN!$A$2:$A$1000,0))</f>
        <v>Bảo vệ</v>
      </c>
      <c r="H13" s="12" t="str">
        <f t="shared" si="0"/>
        <v>Đăng nhập được (nếu đúng mật khẩu)</v>
      </c>
      <c r="I13" s="12" t="str">
        <f>IF(SUMPRODUCT(--(TAI_KHOAN!$A$2:$A$1000=A13))=1,"ĐẠT","LỆCH")</f>
        <v>ĐẠT</v>
      </c>
      <c r="J13" s="12" t="str">
        <f>IF(SUMPRODUCT(--(NHAN_VIEN!$A$2:$A$1000=C13))&gt;0,"ĐẠT","LỆCH")</f>
        <v>ĐẠT</v>
      </c>
      <c r="K13" s="12" t="str">
        <f t="shared" si="1"/>
        <v>ĐẠT</v>
      </c>
    </row>
  </sheetData>
  <autoFilter ref="A1:K13" xr:uid="{00000000-0009-0000-0000-000006000000}"/>
  <conditionalFormatting sqref="I2:K1000">
    <cfRule type="cellIs" dxfId="17" priority="2" operator="equal">
      <formula>"LỆCH"</formula>
    </cfRule>
    <cfRule type="cellIs" dxfId="16" priority="3" operator="equal">
      <formula>"ĐẠT"</formula>
    </cfRule>
  </conditionalFormatting>
  <dataValidations count="2">
    <dataValidation type="textLength" operator="lessThanOrEqual" showErrorMessage="1" errorTitle="Dữ liệu không hợp lệ" error="Tối đa 50 ký tự (VARCHAR/NVARCHAR(50))" sqref="A2:A1000" xr:uid="{00000000-0002-0000-0600-000000000000}">
      <formula1>50</formula1>
      <formula2>0</formula2>
    </dataValidation>
    <dataValidation type="list" showErrorMessage="1" errorTitle="Dữ liệu không hợp lệ" error="Chỉ chọn: Hoạt động, Bị khóa" sqref="D2:D1000" xr:uid="{00000000-0002-0000-0600-000001000000}">
      <formula1>"Hoạt động,Bị khóa"</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showErrorMessage="1" errorTitle="Dữ liệu không hợp lệ" error="Giá trị phải tồn tại ở NHAN_VIEN.MaNV" xr:uid="{00000000-0002-0000-0600-000002000000}">
          <x14:formula1>
            <xm:f>NHAN_VIEN!$A$2:$A$1000</xm:f>
          </x14:formula1>
          <x14:formula2>
            <xm:f>0</xm:f>
          </x14:formula2>
          <xm:sqref>C2:C1000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6"/>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5" defaultRowHeight="15" x14ac:dyDescent="0.2"/>
  <cols>
    <col min="1" max="2" width="12" customWidth="1"/>
    <col min="3" max="3" width="18" customWidth="1"/>
    <col min="4" max="4" width="13" customWidth="1"/>
    <col min="5" max="5" width="14" customWidth="1"/>
    <col min="6" max="9" width="12" customWidth="1"/>
    <col min="10" max="11" width="15" customWidth="1"/>
  </cols>
  <sheetData>
    <row r="1" spans="1:11" ht="33.75" customHeight="1" x14ac:dyDescent="0.2">
      <c r="A1" s="13" t="s">
        <v>274</v>
      </c>
      <c r="B1" s="13" t="s">
        <v>170</v>
      </c>
      <c r="C1" s="13" t="s">
        <v>275</v>
      </c>
      <c r="D1" s="13" t="s">
        <v>276</v>
      </c>
      <c r="E1" s="13" t="s">
        <v>277</v>
      </c>
      <c r="F1" s="15" t="s">
        <v>171</v>
      </c>
      <c r="G1" s="15" t="s">
        <v>278</v>
      </c>
      <c r="H1" s="15" t="s">
        <v>279</v>
      </c>
      <c r="I1" s="15" t="s">
        <v>56</v>
      </c>
      <c r="J1" s="15" t="s">
        <v>73</v>
      </c>
      <c r="K1" s="15" t="s">
        <v>86</v>
      </c>
    </row>
    <row r="2" spans="1:11" x14ac:dyDescent="0.2">
      <c r="A2" s="16" t="s">
        <v>280</v>
      </c>
      <c r="B2" s="16" t="s">
        <v>182</v>
      </c>
      <c r="C2" s="16" t="s">
        <v>281</v>
      </c>
      <c r="D2" s="10">
        <v>30000</v>
      </c>
      <c r="E2" s="10">
        <v>2200000</v>
      </c>
      <c r="F2" s="12" t="str">
        <f>INDEX(BAI_DO_XE!$B$2:$B$1000,MATCH(B2,BAI_DO_XE!$A$2:$A$1000,0))</f>
        <v>Bãi xe Landmark 81</v>
      </c>
      <c r="G2" s="17">
        <f>COUNTIFS(VI_TRI_DO!$D$2:$D$1000,A2,VI_TRI_DO!$E$2:$E$1000,B2)</f>
        <v>4</v>
      </c>
      <c r="H2" s="17">
        <f>COUNTIFS(VI_TRI_DO!$D$2:$D$1000,A2,VI_TRI_DO!$E$2:$E$1000,B2,VI_TRI_DO!$C$2:$C$1000,"Trống")</f>
        <v>3</v>
      </c>
      <c r="I2" s="12" t="str">
        <f>IF(SUMPRODUCT((LOAI_XE!$A$2:$A$1000=A2)*(LOAI_XE!$B$2:$B$1000=B2))=1,"ĐẠT","LỆCH")</f>
        <v>ĐẠT</v>
      </c>
      <c r="J2" s="12" t="str">
        <f>IF(SUMPRODUCT(--(BAI_DO_XE!$A$2:$A$1000=B2))&gt;0,"ĐẠT","LỆCH")</f>
        <v>ĐẠT</v>
      </c>
      <c r="K2" s="12" t="str">
        <f t="shared" ref="K2:K16" si="0">IF(AND(D2&gt;0,E2&gt;0),"ĐẠT","LỆCH")</f>
        <v>ĐẠT</v>
      </c>
    </row>
    <row r="3" spans="1:11" x14ac:dyDescent="0.2">
      <c r="A3" s="16" t="s">
        <v>282</v>
      </c>
      <c r="B3" s="16" t="s">
        <v>182</v>
      </c>
      <c r="C3" s="16" t="s">
        <v>283</v>
      </c>
      <c r="D3" s="10">
        <v>4000</v>
      </c>
      <c r="E3" s="10">
        <v>90000</v>
      </c>
      <c r="F3" s="12" t="str">
        <f>INDEX(BAI_DO_XE!$B$2:$B$1000,MATCH(B3,BAI_DO_XE!$A$2:$A$1000,0))</f>
        <v>Bãi xe Landmark 81</v>
      </c>
      <c r="G3" s="17">
        <f>COUNTIFS(VI_TRI_DO!$D$2:$D$1000,A3,VI_TRI_DO!$E$2:$E$1000,B3)</f>
        <v>2</v>
      </c>
      <c r="H3" s="17">
        <f>COUNTIFS(VI_TRI_DO!$D$2:$D$1000,A3,VI_TRI_DO!$E$2:$E$1000,B3,VI_TRI_DO!$C$2:$C$1000,"Trống")</f>
        <v>2</v>
      </c>
      <c r="I3" s="12" t="str">
        <f>IF(SUMPRODUCT((LOAI_XE!$A$2:$A$1000=A3)*(LOAI_XE!$B$2:$B$1000=B3))=1,"ĐẠT","LỆCH")</f>
        <v>ĐẠT</v>
      </c>
      <c r="J3" s="12" t="str">
        <f>IF(SUMPRODUCT(--(BAI_DO_XE!$A$2:$A$1000=B3))&gt;0,"ĐẠT","LỆCH")</f>
        <v>ĐẠT</v>
      </c>
      <c r="K3" s="12" t="str">
        <f t="shared" si="0"/>
        <v>ĐẠT</v>
      </c>
    </row>
    <row r="4" spans="1:11" x14ac:dyDescent="0.2">
      <c r="A4" s="16" t="s">
        <v>284</v>
      </c>
      <c r="B4" s="16" t="s">
        <v>182</v>
      </c>
      <c r="C4" s="16" t="s">
        <v>285</v>
      </c>
      <c r="D4" s="10">
        <v>7000</v>
      </c>
      <c r="E4" s="10">
        <v>200000</v>
      </c>
      <c r="F4" s="12" t="str">
        <f>INDEX(BAI_DO_XE!$B$2:$B$1000,MATCH(B4,BAI_DO_XE!$A$2:$A$1000,0))</f>
        <v>Bãi xe Landmark 81</v>
      </c>
      <c r="G4" s="17">
        <f>COUNTIFS(VI_TRI_DO!$D$2:$D$1000,A4,VI_TRI_DO!$E$2:$E$1000,B4)</f>
        <v>6</v>
      </c>
      <c r="H4" s="17">
        <f>COUNTIFS(VI_TRI_DO!$D$2:$D$1000,A4,VI_TRI_DO!$E$2:$E$1000,B4,VI_TRI_DO!$C$2:$C$1000,"Trống")</f>
        <v>6</v>
      </c>
      <c r="I4" s="12" t="str">
        <f>IF(SUMPRODUCT((LOAI_XE!$A$2:$A$1000=A4)*(LOAI_XE!$B$2:$B$1000=B4))=1,"ĐẠT","LỆCH")</f>
        <v>ĐẠT</v>
      </c>
      <c r="J4" s="12" t="str">
        <f>IF(SUMPRODUCT(--(BAI_DO_XE!$A$2:$A$1000=B4))&gt;0,"ĐẠT","LỆCH")</f>
        <v>ĐẠT</v>
      </c>
      <c r="K4" s="12" t="str">
        <f t="shared" si="0"/>
        <v>ĐẠT</v>
      </c>
    </row>
    <row r="5" spans="1:11" x14ac:dyDescent="0.2">
      <c r="A5" s="16" t="s">
        <v>280</v>
      </c>
      <c r="B5" s="16" t="s">
        <v>185</v>
      </c>
      <c r="C5" s="16" t="s">
        <v>281</v>
      </c>
      <c r="D5" s="10">
        <v>25000</v>
      </c>
      <c r="E5" s="10">
        <v>1800000</v>
      </c>
      <c r="F5" s="12" t="str">
        <f>INDEX(BAI_DO_XE!$B$2:$B$1000,MATCH(B5,BAI_DO_XE!$A$2:$A$1000,0))</f>
        <v>Bãi xe Lê Lai - Bến Thành</v>
      </c>
      <c r="G5" s="17">
        <f>COUNTIFS(VI_TRI_DO!$D$2:$D$1000,A5,VI_TRI_DO!$E$2:$E$1000,B5)</f>
        <v>4</v>
      </c>
      <c r="H5" s="17">
        <f>COUNTIFS(VI_TRI_DO!$D$2:$D$1000,A5,VI_TRI_DO!$E$2:$E$1000,B5,VI_TRI_DO!$C$2:$C$1000,"Trống")</f>
        <v>4</v>
      </c>
      <c r="I5" s="12" t="str">
        <f>IF(SUMPRODUCT((LOAI_XE!$A$2:$A$1000=A5)*(LOAI_XE!$B$2:$B$1000=B5))=1,"ĐẠT","LỆCH")</f>
        <v>ĐẠT</v>
      </c>
      <c r="J5" s="12" t="str">
        <f>IF(SUMPRODUCT(--(BAI_DO_XE!$A$2:$A$1000=B5))&gt;0,"ĐẠT","LỆCH")</f>
        <v>ĐẠT</v>
      </c>
      <c r="K5" s="12" t="str">
        <f t="shared" si="0"/>
        <v>ĐẠT</v>
      </c>
    </row>
    <row r="6" spans="1:11" x14ac:dyDescent="0.2">
      <c r="A6" s="16" t="s">
        <v>282</v>
      </c>
      <c r="B6" s="16" t="s">
        <v>185</v>
      </c>
      <c r="C6" s="16" t="s">
        <v>283</v>
      </c>
      <c r="D6" s="10">
        <v>3000</v>
      </c>
      <c r="E6" s="10">
        <v>80000</v>
      </c>
      <c r="F6" s="12" t="str">
        <f>INDEX(BAI_DO_XE!$B$2:$B$1000,MATCH(B6,BAI_DO_XE!$A$2:$A$1000,0))</f>
        <v>Bãi xe Lê Lai - Bến Thành</v>
      </c>
      <c r="G6" s="17">
        <f>COUNTIFS(VI_TRI_DO!$D$2:$D$1000,A6,VI_TRI_DO!$E$2:$E$1000,B6)</f>
        <v>2</v>
      </c>
      <c r="H6" s="17">
        <f>COUNTIFS(VI_TRI_DO!$D$2:$D$1000,A6,VI_TRI_DO!$E$2:$E$1000,B6,VI_TRI_DO!$C$2:$C$1000,"Trống")</f>
        <v>2</v>
      </c>
      <c r="I6" s="12" t="str">
        <f>IF(SUMPRODUCT((LOAI_XE!$A$2:$A$1000=A6)*(LOAI_XE!$B$2:$B$1000=B6))=1,"ĐẠT","LỆCH")</f>
        <v>ĐẠT</v>
      </c>
      <c r="J6" s="12" t="str">
        <f>IF(SUMPRODUCT(--(BAI_DO_XE!$A$2:$A$1000=B6))&gt;0,"ĐẠT","LỆCH")</f>
        <v>ĐẠT</v>
      </c>
      <c r="K6" s="12" t="str">
        <f t="shared" si="0"/>
        <v>ĐẠT</v>
      </c>
    </row>
    <row r="7" spans="1:11" x14ac:dyDescent="0.2">
      <c r="A7" s="16" t="s">
        <v>284</v>
      </c>
      <c r="B7" s="16" t="s">
        <v>185</v>
      </c>
      <c r="C7" s="16" t="s">
        <v>285</v>
      </c>
      <c r="D7" s="10">
        <v>6000</v>
      </c>
      <c r="E7" s="10">
        <v>180000</v>
      </c>
      <c r="F7" s="12" t="str">
        <f>INDEX(BAI_DO_XE!$B$2:$B$1000,MATCH(B7,BAI_DO_XE!$A$2:$A$1000,0))</f>
        <v>Bãi xe Lê Lai - Bến Thành</v>
      </c>
      <c r="G7" s="17">
        <f>COUNTIFS(VI_TRI_DO!$D$2:$D$1000,A7,VI_TRI_DO!$E$2:$E$1000,B7)</f>
        <v>6</v>
      </c>
      <c r="H7" s="17">
        <f>COUNTIFS(VI_TRI_DO!$D$2:$D$1000,A7,VI_TRI_DO!$E$2:$E$1000,B7,VI_TRI_DO!$C$2:$C$1000,"Trống")</f>
        <v>4</v>
      </c>
      <c r="I7" s="12" t="str">
        <f>IF(SUMPRODUCT((LOAI_XE!$A$2:$A$1000=A7)*(LOAI_XE!$B$2:$B$1000=B7))=1,"ĐẠT","LỆCH")</f>
        <v>ĐẠT</v>
      </c>
      <c r="J7" s="12" t="str">
        <f>IF(SUMPRODUCT(--(BAI_DO_XE!$A$2:$A$1000=B7))&gt;0,"ĐẠT","LỆCH")</f>
        <v>ĐẠT</v>
      </c>
      <c r="K7" s="12" t="str">
        <f t="shared" si="0"/>
        <v>ĐẠT</v>
      </c>
    </row>
    <row r="8" spans="1:11" x14ac:dyDescent="0.2">
      <c r="A8" s="16" t="s">
        <v>280</v>
      </c>
      <c r="B8" s="16" t="s">
        <v>188</v>
      </c>
      <c r="C8" s="16" t="s">
        <v>281</v>
      </c>
      <c r="D8" s="10">
        <v>20000</v>
      </c>
      <c r="E8" s="10">
        <v>1500000</v>
      </c>
      <c r="F8" s="12" t="str">
        <f>INDEX(BAI_DO_XE!$B$2:$B$1000,MATCH(B8,BAI_DO_XE!$A$2:$A$1000,0))</f>
        <v>Bãi xe Hai Bà Trưng</v>
      </c>
      <c r="G8" s="17">
        <f>COUNTIFS(VI_TRI_DO!$D$2:$D$1000,A8,VI_TRI_DO!$E$2:$E$1000,B8)</f>
        <v>3</v>
      </c>
      <c r="H8" s="17">
        <f>COUNTIFS(VI_TRI_DO!$D$2:$D$1000,A8,VI_TRI_DO!$E$2:$E$1000,B8,VI_TRI_DO!$C$2:$C$1000,"Trống")</f>
        <v>3</v>
      </c>
      <c r="I8" s="12" t="str">
        <f>IF(SUMPRODUCT((LOAI_XE!$A$2:$A$1000=A8)*(LOAI_XE!$B$2:$B$1000=B8))=1,"ĐẠT","LỆCH")</f>
        <v>ĐẠT</v>
      </c>
      <c r="J8" s="12" t="str">
        <f>IF(SUMPRODUCT(--(BAI_DO_XE!$A$2:$A$1000=B8))&gt;0,"ĐẠT","LỆCH")</f>
        <v>ĐẠT</v>
      </c>
      <c r="K8" s="12" t="str">
        <f t="shared" si="0"/>
        <v>ĐẠT</v>
      </c>
    </row>
    <row r="9" spans="1:11" x14ac:dyDescent="0.2">
      <c r="A9" s="16" t="s">
        <v>282</v>
      </c>
      <c r="B9" s="16" t="s">
        <v>188</v>
      </c>
      <c r="C9" s="16" t="s">
        <v>283</v>
      </c>
      <c r="D9" s="10">
        <v>2000</v>
      </c>
      <c r="E9" s="10">
        <v>60000</v>
      </c>
      <c r="F9" s="12" t="str">
        <f>INDEX(BAI_DO_XE!$B$2:$B$1000,MATCH(B9,BAI_DO_XE!$A$2:$A$1000,0))</f>
        <v>Bãi xe Hai Bà Trưng</v>
      </c>
      <c r="G9" s="17">
        <f>COUNTIFS(VI_TRI_DO!$D$2:$D$1000,A9,VI_TRI_DO!$E$2:$E$1000,B9)</f>
        <v>2</v>
      </c>
      <c r="H9" s="17">
        <f>COUNTIFS(VI_TRI_DO!$D$2:$D$1000,A9,VI_TRI_DO!$E$2:$E$1000,B9,VI_TRI_DO!$C$2:$C$1000,"Trống")</f>
        <v>2</v>
      </c>
      <c r="I9" s="12" t="str">
        <f>IF(SUMPRODUCT((LOAI_XE!$A$2:$A$1000=A9)*(LOAI_XE!$B$2:$B$1000=B9))=1,"ĐẠT","LỆCH")</f>
        <v>ĐẠT</v>
      </c>
      <c r="J9" s="12" t="str">
        <f>IF(SUMPRODUCT(--(BAI_DO_XE!$A$2:$A$1000=B9))&gt;0,"ĐẠT","LỆCH")</f>
        <v>ĐẠT</v>
      </c>
      <c r="K9" s="12" t="str">
        <f t="shared" si="0"/>
        <v>ĐẠT</v>
      </c>
    </row>
    <row r="10" spans="1:11" x14ac:dyDescent="0.2">
      <c r="A10" s="16" t="s">
        <v>284</v>
      </c>
      <c r="B10" s="16" t="s">
        <v>188</v>
      </c>
      <c r="C10" s="16" t="s">
        <v>285</v>
      </c>
      <c r="D10" s="10">
        <v>5000</v>
      </c>
      <c r="E10" s="10">
        <v>150000</v>
      </c>
      <c r="F10" s="12" t="str">
        <f>INDEX(BAI_DO_XE!$B$2:$B$1000,MATCH(B10,BAI_DO_XE!$A$2:$A$1000,0))</f>
        <v>Bãi xe Hai Bà Trưng</v>
      </c>
      <c r="G10" s="17">
        <f>COUNTIFS(VI_TRI_DO!$D$2:$D$1000,A10,VI_TRI_DO!$E$2:$E$1000,B10)</f>
        <v>5</v>
      </c>
      <c r="H10" s="17">
        <f>COUNTIFS(VI_TRI_DO!$D$2:$D$1000,A10,VI_TRI_DO!$E$2:$E$1000,B10,VI_TRI_DO!$C$2:$C$1000,"Trống")</f>
        <v>4</v>
      </c>
      <c r="I10" s="12" t="str">
        <f>IF(SUMPRODUCT((LOAI_XE!$A$2:$A$1000=A10)*(LOAI_XE!$B$2:$B$1000=B10))=1,"ĐẠT","LỆCH")</f>
        <v>ĐẠT</v>
      </c>
      <c r="J10" s="12" t="str">
        <f>IF(SUMPRODUCT(--(BAI_DO_XE!$A$2:$A$1000=B10))&gt;0,"ĐẠT","LỆCH")</f>
        <v>ĐẠT</v>
      </c>
      <c r="K10" s="12" t="str">
        <f t="shared" si="0"/>
        <v>ĐẠT</v>
      </c>
    </row>
    <row r="11" spans="1:11" x14ac:dyDescent="0.2">
      <c r="A11" s="16" t="s">
        <v>280</v>
      </c>
      <c r="B11" s="16" t="s">
        <v>191</v>
      </c>
      <c r="C11" s="16" t="s">
        <v>281</v>
      </c>
      <c r="D11" s="10">
        <v>20000</v>
      </c>
      <c r="E11" s="10">
        <v>1700000</v>
      </c>
      <c r="F11" s="12" t="str">
        <f>INDEX(BAI_DO_XE!$B$2:$B$1000,MATCH(B11,BAI_DO_XE!$A$2:$A$1000,0))</f>
        <v>Bãi xe SC VivoCity</v>
      </c>
      <c r="G11" s="17">
        <f>COUNTIFS(VI_TRI_DO!$D$2:$D$1000,A11,VI_TRI_DO!$E$2:$E$1000,B11)</f>
        <v>5</v>
      </c>
      <c r="H11" s="17">
        <f>COUNTIFS(VI_TRI_DO!$D$2:$D$1000,A11,VI_TRI_DO!$E$2:$E$1000,B11,VI_TRI_DO!$C$2:$C$1000,"Trống")</f>
        <v>4</v>
      </c>
      <c r="I11" s="12" t="str">
        <f>IF(SUMPRODUCT((LOAI_XE!$A$2:$A$1000=A11)*(LOAI_XE!$B$2:$B$1000=B11))=1,"ĐẠT","LỆCH")</f>
        <v>ĐẠT</v>
      </c>
      <c r="J11" s="12" t="str">
        <f>IF(SUMPRODUCT(--(BAI_DO_XE!$A$2:$A$1000=B11))&gt;0,"ĐẠT","LỆCH")</f>
        <v>ĐẠT</v>
      </c>
      <c r="K11" s="12" t="str">
        <f t="shared" si="0"/>
        <v>ĐẠT</v>
      </c>
    </row>
    <row r="12" spans="1:11" x14ac:dyDescent="0.2">
      <c r="A12" s="16" t="s">
        <v>282</v>
      </c>
      <c r="B12" s="16" t="s">
        <v>191</v>
      </c>
      <c r="C12" s="16" t="s">
        <v>283</v>
      </c>
      <c r="D12" s="10">
        <v>2000</v>
      </c>
      <c r="E12" s="10">
        <v>70000</v>
      </c>
      <c r="F12" s="12" t="str">
        <f>INDEX(BAI_DO_XE!$B$2:$B$1000,MATCH(B12,BAI_DO_XE!$A$2:$A$1000,0))</f>
        <v>Bãi xe SC VivoCity</v>
      </c>
      <c r="G12" s="17">
        <f>COUNTIFS(VI_TRI_DO!$D$2:$D$1000,A12,VI_TRI_DO!$E$2:$E$1000,B12)</f>
        <v>2</v>
      </c>
      <c r="H12" s="17">
        <f>COUNTIFS(VI_TRI_DO!$D$2:$D$1000,A12,VI_TRI_DO!$E$2:$E$1000,B12,VI_TRI_DO!$C$2:$C$1000,"Trống")</f>
        <v>2</v>
      </c>
      <c r="I12" s="12" t="str">
        <f>IF(SUMPRODUCT((LOAI_XE!$A$2:$A$1000=A12)*(LOAI_XE!$B$2:$B$1000=B12))=1,"ĐẠT","LỆCH")</f>
        <v>ĐẠT</v>
      </c>
      <c r="J12" s="12" t="str">
        <f>IF(SUMPRODUCT(--(BAI_DO_XE!$A$2:$A$1000=B12))&gt;0,"ĐẠT","LỆCH")</f>
        <v>ĐẠT</v>
      </c>
      <c r="K12" s="12" t="str">
        <f t="shared" si="0"/>
        <v>ĐẠT</v>
      </c>
    </row>
    <row r="13" spans="1:11" x14ac:dyDescent="0.2">
      <c r="A13" s="16" t="s">
        <v>284</v>
      </c>
      <c r="B13" s="16" t="s">
        <v>191</v>
      </c>
      <c r="C13" s="16" t="s">
        <v>285</v>
      </c>
      <c r="D13" s="10">
        <v>5000</v>
      </c>
      <c r="E13" s="10">
        <v>170000</v>
      </c>
      <c r="F13" s="12" t="str">
        <f>INDEX(BAI_DO_XE!$B$2:$B$1000,MATCH(B13,BAI_DO_XE!$A$2:$A$1000,0))</f>
        <v>Bãi xe SC VivoCity</v>
      </c>
      <c r="G13" s="17">
        <f>COUNTIFS(VI_TRI_DO!$D$2:$D$1000,A13,VI_TRI_DO!$E$2:$E$1000,B13)</f>
        <v>5</v>
      </c>
      <c r="H13" s="17">
        <f>COUNTIFS(VI_TRI_DO!$D$2:$D$1000,A13,VI_TRI_DO!$E$2:$E$1000,B13,VI_TRI_DO!$C$2:$C$1000,"Trống")</f>
        <v>4</v>
      </c>
      <c r="I13" s="12" t="str">
        <f>IF(SUMPRODUCT((LOAI_XE!$A$2:$A$1000=A13)*(LOAI_XE!$B$2:$B$1000=B13))=1,"ĐẠT","LỆCH")</f>
        <v>ĐẠT</v>
      </c>
      <c r="J13" s="12" t="str">
        <f>IF(SUMPRODUCT(--(BAI_DO_XE!$A$2:$A$1000=B13))&gt;0,"ĐẠT","LỆCH")</f>
        <v>ĐẠT</v>
      </c>
      <c r="K13" s="12" t="str">
        <f t="shared" si="0"/>
        <v>ĐẠT</v>
      </c>
    </row>
    <row r="14" spans="1:11" x14ac:dyDescent="0.2">
      <c r="A14" s="16" t="s">
        <v>280</v>
      </c>
      <c r="B14" s="16" t="s">
        <v>194</v>
      </c>
      <c r="C14" s="16" t="s">
        <v>281</v>
      </c>
      <c r="D14" s="10">
        <v>25000</v>
      </c>
      <c r="E14" s="10">
        <v>1600000</v>
      </c>
      <c r="F14" s="12" t="str">
        <f>INDEX(BAI_DO_XE!$B$2:$B$1000,MATCH(B14,BAI_DO_XE!$A$2:$A$1000,0))</f>
        <v>Bãi xe TCP Park - Sân bay Tân Sơn Nhất</v>
      </c>
      <c r="G14" s="17">
        <f>COUNTIFS(VI_TRI_DO!$D$2:$D$1000,A14,VI_TRI_DO!$E$2:$E$1000,B14)</f>
        <v>6</v>
      </c>
      <c r="H14" s="17">
        <f>COUNTIFS(VI_TRI_DO!$D$2:$D$1000,A14,VI_TRI_DO!$E$2:$E$1000,B14,VI_TRI_DO!$C$2:$C$1000,"Trống")</f>
        <v>5</v>
      </c>
      <c r="I14" s="12" t="str">
        <f>IF(SUMPRODUCT((LOAI_XE!$A$2:$A$1000=A14)*(LOAI_XE!$B$2:$B$1000=B14))=1,"ĐẠT","LỆCH")</f>
        <v>ĐẠT</v>
      </c>
      <c r="J14" s="12" t="str">
        <f>IF(SUMPRODUCT(--(BAI_DO_XE!$A$2:$A$1000=B14))&gt;0,"ĐẠT","LỆCH")</f>
        <v>ĐẠT</v>
      </c>
      <c r="K14" s="12" t="str">
        <f t="shared" si="0"/>
        <v>ĐẠT</v>
      </c>
    </row>
    <row r="15" spans="1:11" x14ac:dyDescent="0.2">
      <c r="A15" s="16" t="s">
        <v>282</v>
      </c>
      <c r="B15" s="16" t="s">
        <v>194</v>
      </c>
      <c r="C15" s="16" t="s">
        <v>283</v>
      </c>
      <c r="D15" s="10">
        <v>3000</v>
      </c>
      <c r="E15" s="10">
        <v>80000</v>
      </c>
      <c r="F15" s="12" t="str">
        <f>INDEX(BAI_DO_XE!$B$2:$B$1000,MATCH(B15,BAI_DO_XE!$A$2:$A$1000,0))</f>
        <v>Bãi xe TCP Park - Sân bay Tân Sơn Nhất</v>
      </c>
      <c r="G15" s="17">
        <f>COUNTIFS(VI_TRI_DO!$D$2:$D$1000,A15,VI_TRI_DO!$E$2:$E$1000,B15)</f>
        <v>2</v>
      </c>
      <c r="H15" s="17">
        <f>COUNTIFS(VI_TRI_DO!$D$2:$D$1000,A15,VI_TRI_DO!$E$2:$E$1000,B15,VI_TRI_DO!$C$2:$C$1000,"Trống")</f>
        <v>2</v>
      </c>
      <c r="I15" s="12" t="str">
        <f>IF(SUMPRODUCT((LOAI_XE!$A$2:$A$1000=A15)*(LOAI_XE!$B$2:$B$1000=B15))=1,"ĐẠT","LỆCH")</f>
        <v>ĐẠT</v>
      </c>
      <c r="J15" s="12" t="str">
        <f>IF(SUMPRODUCT(--(BAI_DO_XE!$A$2:$A$1000=B15))&gt;0,"ĐẠT","LỆCH")</f>
        <v>ĐẠT</v>
      </c>
      <c r="K15" s="12" t="str">
        <f t="shared" si="0"/>
        <v>ĐẠT</v>
      </c>
    </row>
    <row r="16" spans="1:11" x14ac:dyDescent="0.2">
      <c r="A16" s="16" t="s">
        <v>284</v>
      </c>
      <c r="B16" s="16" t="s">
        <v>194</v>
      </c>
      <c r="C16" s="16" t="s">
        <v>285</v>
      </c>
      <c r="D16" s="10">
        <v>5000</v>
      </c>
      <c r="E16" s="10">
        <v>200000</v>
      </c>
      <c r="F16" s="12" t="str">
        <f>INDEX(BAI_DO_XE!$B$2:$B$1000,MATCH(B16,BAI_DO_XE!$A$2:$A$1000,0))</f>
        <v>Bãi xe TCP Park - Sân bay Tân Sơn Nhất</v>
      </c>
      <c r="G16" s="17">
        <f>COUNTIFS(VI_TRI_DO!$D$2:$D$1000,A16,VI_TRI_DO!$E$2:$E$1000,B16)</f>
        <v>6</v>
      </c>
      <c r="H16" s="17">
        <f>COUNTIFS(VI_TRI_DO!$D$2:$D$1000,A16,VI_TRI_DO!$E$2:$E$1000,B16,VI_TRI_DO!$C$2:$C$1000,"Trống")</f>
        <v>4</v>
      </c>
      <c r="I16" s="12" t="str">
        <f>IF(SUMPRODUCT((LOAI_XE!$A$2:$A$1000=A16)*(LOAI_XE!$B$2:$B$1000=B16))=1,"ĐẠT","LỆCH")</f>
        <v>ĐẠT</v>
      </c>
      <c r="J16" s="12" t="str">
        <f>IF(SUMPRODUCT(--(BAI_DO_XE!$A$2:$A$1000=B16))&gt;0,"ĐẠT","LỆCH")</f>
        <v>ĐẠT</v>
      </c>
      <c r="K16" s="12" t="str">
        <f t="shared" si="0"/>
        <v>ĐẠT</v>
      </c>
    </row>
  </sheetData>
  <autoFilter ref="A1:K16" xr:uid="{00000000-0009-0000-0000-000007000000}"/>
  <conditionalFormatting sqref="I2:K1000">
    <cfRule type="cellIs" dxfId="15" priority="2" operator="equal">
      <formula>"LỆCH"</formula>
    </cfRule>
    <cfRule type="cellIs" dxfId="14" priority="3" operator="equal">
      <formula>"ĐẠT"</formula>
    </cfRule>
  </conditionalFormatting>
  <dataValidations count="3">
    <dataValidation type="textLength" operator="lessThanOrEqual" showErrorMessage="1" errorTitle="Dữ liệu không hợp lệ" error="Tối đa 10 ký tự (VARCHAR/NVARCHAR(10))" sqref="A2:A1000" xr:uid="{00000000-0002-0000-0700-000000000000}">
      <formula1>10</formula1>
      <formula2>0</formula2>
    </dataValidation>
    <dataValidation type="textLength" operator="lessThanOrEqual" showErrorMessage="1" errorTitle="Dữ liệu không hợp lệ" error="Tối đa 50 ký tự (VARCHAR/NVARCHAR(50))" sqref="C2:C1000" xr:uid="{00000000-0002-0000-0700-000001000000}">
      <formula1>50</formula1>
      <formula2>0</formula2>
    </dataValidation>
    <dataValidation type="decimal" operator="greaterThan" showErrorMessage="1" errorTitle="Dữ liệu không hợp lệ" error="Phải là số &gt; 0" sqref="D2:E1000" xr:uid="{00000000-0002-0000-0700-000003000000}">
      <formula1>0</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showErrorMessage="1" errorTitle="Dữ liệu không hợp lệ" error="Giá trị phải tồn tại ở BAI_DO_XE.MaBai" xr:uid="{00000000-0002-0000-0700-000002000000}">
          <x14:formula1>
            <xm:f>BAI_DO_XE!$A$2:$A$1000</xm:f>
          </x14:formula1>
          <x14:formula2>
            <xm:f>0</xm:f>
          </x14:formula2>
          <xm:sqref>B2:B1000</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61"/>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5" defaultRowHeight="15" x14ac:dyDescent="0.2"/>
  <cols>
    <col min="1" max="1" width="12" customWidth="1"/>
    <col min="2" max="2" width="21" customWidth="1"/>
    <col min="3" max="3" width="13" customWidth="1"/>
    <col min="4" max="5" width="12" customWidth="1"/>
    <col min="6" max="6" width="14" customWidth="1"/>
    <col min="7" max="7" width="12" customWidth="1"/>
    <col min="8" max="8" width="17" customWidth="1"/>
    <col min="9" max="9" width="22" customWidth="1"/>
    <col min="10" max="10" width="18" customWidth="1"/>
    <col min="11" max="11" width="16" customWidth="1"/>
  </cols>
  <sheetData>
    <row r="1" spans="1:11" ht="33.75" customHeight="1" x14ac:dyDescent="0.2">
      <c r="A1" s="13" t="s">
        <v>286</v>
      </c>
      <c r="B1" s="13" t="s">
        <v>287</v>
      </c>
      <c r="C1" s="14" t="s">
        <v>253</v>
      </c>
      <c r="D1" s="13" t="s">
        <v>274</v>
      </c>
      <c r="E1" s="13" t="s">
        <v>170</v>
      </c>
      <c r="F1" s="15" t="s">
        <v>288</v>
      </c>
      <c r="G1" s="15" t="s">
        <v>56</v>
      </c>
      <c r="H1" s="15" t="s">
        <v>60</v>
      </c>
      <c r="I1" s="15" t="s">
        <v>91</v>
      </c>
      <c r="J1" s="15" t="s">
        <v>93</v>
      </c>
      <c r="K1" s="15" t="s">
        <v>95</v>
      </c>
    </row>
    <row r="2" spans="1:11" x14ac:dyDescent="0.2">
      <c r="A2" s="16" t="s">
        <v>289</v>
      </c>
      <c r="B2" s="16" t="s">
        <v>290</v>
      </c>
      <c r="C2" s="12" t="str">
        <f t="shared" ref="C2:C33" si="0">IF(F2&gt;0,"Đã đỗ","Trống")</f>
        <v>Đã đỗ</v>
      </c>
      <c r="D2" s="16" t="s">
        <v>280</v>
      </c>
      <c r="E2" s="16" t="s">
        <v>182</v>
      </c>
      <c r="F2" s="17">
        <f>SUMPRODUCT((LUOT_GUI!$F$2:$F$1000=A2)*(LEN(LUOT_GUI!$E$2:$E$1000)=0))</f>
        <v>1</v>
      </c>
      <c r="G2" s="12" t="str">
        <f>IF(SUMPRODUCT(--(VI_TRI_DO!$A$2:$A$1000=A2))=1,"ĐẠT","LỆCH")</f>
        <v>ĐẠT</v>
      </c>
      <c r="H2" s="12" t="str">
        <f t="shared" ref="H2:H33" si="1">IF(LEFT(A2,LEN(SUBSTITUTE(E2,"BAI_",""))+LEN(D2)+2)=SUBSTITUTE(E2,"BAI_","")&amp;"_"&amp;D2&amp;"_","ĐẠT","LỆCH")</f>
        <v>ĐẠT</v>
      </c>
      <c r="I2" s="12" t="str">
        <f>IF(SUMPRODUCT((LOAI_XE!$A$2:$A$1000=D2)*(LOAI_XE!$B$2:$B$1000=E2))&gt;0,"ĐẠT","LỆCH")</f>
        <v>ĐẠT</v>
      </c>
      <c r="J2" s="12" t="str">
        <f t="shared" ref="J2:J33" si="2">IF(LEN(B2)&lt;=20,"ĐẠT","LỆCH")</f>
        <v>ĐẠT</v>
      </c>
      <c r="K2" s="12" t="str">
        <f t="shared" ref="K2:K33" si="3">IF(F2&lt;=1,"ĐẠT","LỆCH")</f>
        <v>ĐẠT</v>
      </c>
    </row>
    <row r="3" spans="1:11" x14ac:dyDescent="0.2">
      <c r="A3" s="16" t="s">
        <v>291</v>
      </c>
      <c r="B3" s="16" t="s">
        <v>290</v>
      </c>
      <c r="C3" s="12" t="str">
        <f t="shared" si="0"/>
        <v>Trống</v>
      </c>
      <c r="D3" s="16" t="s">
        <v>280</v>
      </c>
      <c r="E3" s="16" t="s">
        <v>182</v>
      </c>
      <c r="F3" s="17">
        <f>SUMPRODUCT((LUOT_GUI!$F$2:$F$1000=A3)*(LEN(LUOT_GUI!$E$2:$E$1000)=0))</f>
        <v>0</v>
      </c>
      <c r="G3" s="12" t="str">
        <f>IF(SUMPRODUCT(--(VI_TRI_DO!$A$2:$A$1000=A3))=1,"ĐẠT","LỆCH")</f>
        <v>ĐẠT</v>
      </c>
      <c r="H3" s="12" t="str">
        <f t="shared" si="1"/>
        <v>ĐẠT</v>
      </c>
      <c r="I3" s="12" t="str">
        <f>IF(SUMPRODUCT((LOAI_XE!$A$2:$A$1000=D3)*(LOAI_XE!$B$2:$B$1000=E3))&gt;0,"ĐẠT","LỆCH")</f>
        <v>ĐẠT</v>
      </c>
      <c r="J3" s="12" t="str">
        <f t="shared" si="2"/>
        <v>ĐẠT</v>
      </c>
      <c r="K3" s="12" t="str">
        <f t="shared" si="3"/>
        <v>ĐẠT</v>
      </c>
    </row>
    <row r="4" spans="1:11" x14ac:dyDescent="0.2">
      <c r="A4" s="16" t="s">
        <v>292</v>
      </c>
      <c r="B4" s="16" t="s">
        <v>293</v>
      </c>
      <c r="C4" s="12" t="str">
        <f t="shared" si="0"/>
        <v>Trống</v>
      </c>
      <c r="D4" s="16" t="s">
        <v>280</v>
      </c>
      <c r="E4" s="16" t="s">
        <v>182</v>
      </c>
      <c r="F4" s="17">
        <f>SUMPRODUCT((LUOT_GUI!$F$2:$F$1000=A4)*(LEN(LUOT_GUI!$E$2:$E$1000)=0))</f>
        <v>0</v>
      </c>
      <c r="G4" s="12" t="str">
        <f>IF(SUMPRODUCT(--(VI_TRI_DO!$A$2:$A$1000=A4))=1,"ĐẠT","LỆCH")</f>
        <v>ĐẠT</v>
      </c>
      <c r="H4" s="12" t="str">
        <f t="shared" si="1"/>
        <v>ĐẠT</v>
      </c>
      <c r="I4" s="12" t="str">
        <f>IF(SUMPRODUCT((LOAI_XE!$A$2:$A$1000=D4)*(LOAI_XE!$B$2:$B$1000=E4))&gt;0,"ĐẠT","LỆCH")</f>
        <v>ĐẠT</v>
      </c>
      <c r="J4" s="12" t="str">
        <f t="shared" si="2"/>
        <v>ĐẠT</v>
      </c>
      <c r="K4" s="12" t="str">
        <f t="shared" si="3"/>
        <v>ĐẠT</v>
      </c>
    </row>
    <row r="5" spans="1:11" x14ac:dyDescent="0.2">
      <c r="A5" s="16" t="s">
        <v>294</v>
      </c>
      <c r="B5" s="16" t="s">
        <v>293</v>
      </c>
      <c r="C5" s="12" t="str">
        <f t="shared" si="0"/>
        <v>Trống</v>
      </c>
      <c r="D5" s="16" t="s">
        <v>280</v>
      </c>
      <c r="E5" s="16" t="s">
        <v>182</v>
      </c>
      <c r="F5" s="17">
        <f>SUMPRODUCT((LUOT_GUI!$F$2:$F$1000=A5)*(LEN(LUOT_GUI!$E$2:$E$1000)=0))</f>
        <v>0</v>
      </c>
      <c r="G5" s="12" t="str">
        <f>IF(SUMPRODUCT(--(VI_TRI_DO!$A$2:$A$1000=A5))=1,"ĐẠT","LỆCH")</f>
        <v>ĐẠT</v>
      </c>
      <c r="H5" s="12" t="str">
        <f t="shared" si="1"/>
        <v>ĐẠT</v>
      </c>
      <c r="I5" s="12" t="str">
        <f>IF(SUMPRODUCT((LOAI_XE!$A$2:$A$1000=D5)*(LOAI_XE!$B$2:$B$1000=E5))&gt;0,"ĐẠT","LỆCH")</f>
        <v>ĐẠT</v>
      </c>
      <c r="J5" s="12" t="str">
        <f t="shared" si="2"/>
        <v>ĐẠT</v>
      </c>
      <c r="K5" s="12" t="str">
        <f t="shared" si="3"/>
        <v>ĐẠT</v>
      </c>
    </row>
    <row r="6" spans="1:11" x14ac:dyDescent="0.2">
      <c r="A6" s="16" t="s">
        <v>295</v>
      </c>
      <c r="B6" s="16" t="s">
        <v>296</v>
      </c>
      <c r="C6" s="12" t="str">
        <f t="shared" si="0"/>
        <v>Trống</v>
      </c>
      <c r="D6" s="16" t="s">
        <v>282</v>
      </c>
      <c r="E6" s="16" t="s">
        <v>182</v>
      </c>
      <c r="F6" s="17">
        <f>SUMPRODUCT((LUOT_GUI!$F$2:$F$1000=A6)*(LEN(LUOT_GUI!$E$2:$E$1000)=0))</f>
        <v>0</v>
      </c>
      <c r="G6" s="12" t="str">
        <f>IF(SUMPRODUCT(--(VI_TRI_DO!$A$2:$A$1000=A6))=1,"ĐẠT","LỆCH")</f>
        <v>ĐẠT</v>
      </c>
      <c r="H6" s="12" t="str">
        <f t="shared" si="1"/>
        <v>ĐẠT</v>
      </c>
      <c r="I6" s="12" t="str">
        <f>IF(SUMPRODUCT((LOAI_XE!$A$2:$A$1000=D6)*(LOAI_XE!$B$2:$B$1000=E6))&gt;0,"ĐẠT","LỆCH")</f>
        <v>ĐẠT</v>
      </c>
      <c r="J6" s="12" t="str">
        <f t="shared" si="2"/>
        <v>ĐẠT</v>
      </c>
      <c r="K6" s="12" t="str">
        <f t="shared" si="3"/>
        <v>ĐẠT</v>
      </c>
    </row>
    <row r="7" spans="1:11" x14ac:dyDescent="0.2">
      <c r="A7" s="16" t="s">
        <v>297</v>
      </c>
      <c r="B7" s="16" t="s">
        <v>296</v>
      </c>
      <c r="C7" s="12" t="str">
        <f t="shared" si="0"/>
        <v>Trống</v>
      </c>
      <c r="D7" s="16" t="s">
        <v>282</v>
      </c>
      <c r="E7" s="16" t="s">
        <v>182</v>
      </c>
      <c r="F7" s="17">
        <f>SUMPRODUCT((LUOT_GUI!$F$2:$F$1000=A7)*(LEN(LUOT_GUI!$E$2:$E$1000)=0))</f>
        <v>0</v>
      </c>
      <c r="G7" s="12" t="str">
        <f>IF(SUMPRODUCT(--(VI_TRI_DO!$A$2:$A$1000=A7))=1,"ĐẠT","LỆCH")</f>
        <v>ĐẠT</v>
      </c>
      <c r="H7" s="12" t="str">
        <f t="shared" si="1"/>
        <v>ĐẠT</v>
      </c>
      <c r="I7" s="12" t="str">
        <f>IF(SUMPRODUCT((LOAI_XE!$A$2:$A$1000=D7)*(LOAI_XE!$B$2:$B$1000=E7))&gt;0,"ĐẠT","LỆCH")</f>
        <v>ĐẠT</v>
      </c>
      <c r="J7" s="12" t="str">
        <f t="shared" si="2"/>
        <v>ĐẠT</v>
      </c>
      <c r="K7" s="12" t="str">
        <f t="shared" si="3"/>
        <v>ĐẠT</v>
      </c>
    </row>
    <row r="8" spans="1:11" x14ac:dyDescent="0.2">
      <c r="A8" s="16" t="s">
        <v>298</v>
      </c>
      <c r="B8" s="16" t="s">
        <v>299</v>
      </c>
      <c r="C8" s="12" t="str">
        <f t="shared" si="0"/>
        <v>Trống</v>
      </c>
      <c r="D8" s="16" t="s">
        <v>284</v>
      </c>
      <c r="E8" s="16" t="s">
        <v>182</v>
      </c>
      <c r="F8" s="17">
        <f>SUMPRODUCT((LUOT_GUI!$F$2:$F$1000=A8)*(LEN(LUOT_GUI!$E$2:$E$1000)=0))</f>
        <v>0</v>
      </c>
      <c r="G8" s="12" t="str">
        <f>IF(SUMPRODUCT(--(VI_TRI_DO!$A$2:$A$1000=A8))=1,"ĐẠT","LỆCH")</f>
        <v>ĐẠT</v>
      </c>
      <c r="H8" s="12" t="str">
        <f t="shared" si="1"/>
        <v>ĐẠT</v>
      </c>
      <c r="I8" s="12" t="str">
        <f>IF(SUMPRODUCT((LOAI_XE!$A$2:$A$1000=D8)*(LOAI_XE!$B$2:$B$1000=E8))&gt;0,"ĐẠT","LỆCH")</f>
        <v>ĐẠT</v>
      </c>
      <c r="J8" s="12" t="str">
        <f t="shared" si="2"/>
        <v>ĐẠT</v>
      </c>
      <c r="K8" s="12" t="str">
        <f t="shared" si="3"/>
        <v>ĐẠT</v>
      </c>
    </row>
    <row r="9" spans="1:11" x14ac:dyDescent="0.2">
      <c r="A9" s="16" t="s">
        <v>300</v>
      </c>
      <c r="B9" s="16" t="s">
        <v>299</v>
      </c>
      <c r="C9" s="12" t="str">
        <f t="shared" si="0"/>
        <v>Trống</v>
      </c>
      <c r="D9" s="16" t="s">
        <v>284</v>
      </c>
      <c r="E9" s="16" t="s">
        <v>182</v>
      </c>
      <c r="F9" s="17">
        <f>SUMPRODUCT((LUOT_GUI!$F$2:$F$1000=A9)*(LEN(LUOT_GUI!$E$2:$E$1000)=0))</f>
        <v>0</v>
      </c>
      <c r="G9" s="12" t="str">
        <f>IF(SUMPRODUCT(--(VI_TRI_DO!$A$2:$A$1000=A9))=1,"ĐẠT","LỆCH")</f>
        <v>ĐẠT</v>
      </c>
      <c r="H9" s="12" t="str">
        <f t="shared" si="1"/>
        <v>ĐẠT</v>
      </c>
      <c r="I9" s="12" t="str">
        <f>IF(SUMPRODUCT((LOAI_XE!$A$2:$A$1000=D9)*(LOAI_XE!$B$2:$B$1000=E9))&gt;0,"ĐẠT","LỆCH")</f>
        <v>ĐẠT</v>
      </c>
      <c r="J9" s="12" t="str">
        <f t="shared" si="2"/>
        <v>ĐẠT</v>
      </c>
      <c r="K9" s="12" t="str">
        <f t="shared" si="3"/>
        <v>ĐẠT</v>
      </c>
    </row>
    <row r="10" spans="1:11" x14ac:dyDescent="0.2">
      <c r="A10" s="16" t="s">
        <v>301</v>
      </c>
      <c r="B10" s="16" t="s">
        <v>302</v>
      </c>
      <c r="C10" s="12" t="str">
        <f t="shared" si="0"/>
        <v>Trống</v>
      </c>
      <c r="D10" s="16" t="s">
        <v>284</v>
      </c>
      <c r="E10" s="16" t="s">
        <v>182</v>
      </c>
      <c r="F10" s="17">
        <f>SUMPRODUCT((LUOT_GUI!$F$2:$F$1000=A10)*(LEN(LUOT_GUI!$E$2:$E$1000)=0))</f>
        <v>0</v>
      </c>
      <c r="G10" s="12" t="str">
        <f>IF(SUMPRODUCT(--(VI_TRI_DO!$A$2:$A$1000=A10))=1,"ĐẠT","LỆCH")</f>
        <v>ĐẠT</v>
      </c>
      <c r="H10" s="12" t="str">
        <f t="shared" si="1"/>
        <v>ĐẠT</v>
      </c>
      <c r="I10" s="12" t="str">
        <f>IF(SUMPRODUCT((LOAI_XE!$A$2:$A$1000=D10)*(LOAI_XE!$B$2:$B$1000=E10))&gt;0,"ĐẠT","LỆCH")</f>
        <v>ĐẠT</v>
      </c>
      <c r="J10" s="12" t="str">
        <f t="shared" si="2"/>
        <v>ĐẠT</v>
      </c>
      <c r="K10" s="12" t="str">
        <f t="shared" si="3"/>
        <v>ĐẠT</v>
      </c>
    </row>
    <row r="11" spans="1:11" x14ac:dyDescent="0.2">
      <c r="A11" s="16" t="s">
        <v>303</v>
      </c>
      <c r="B11" s="16" t="s">
        <v>302</v>
      </c>
      <c r="C11" s="12" t="str">
        <f t="shared" si="0"/>
        <v>Trống</v>
      </c>
      <c r="D11" s="16" t="s">
        <v>284</v>
      </c>
      <c r="E11" s="16" t="s">
        <v>182</v>
      </c>
      <c r="F11" s="17">
        <f>SUMPRODUCT((LUOT_GUI!$F$2:$F$1000=A11)*(LEN(LUOT_GUI!$E$2:$E$1000)=0))</f>
        <v>0</v>
      </c>
      <c r="G11" s="12" t="str">
        <f>IF(SUMPRODUCT(--(VI_TRI_DO!$A$2:$A$1000=A11))=1,"ĐẠT","LỆCH")</f>
        <v>ĐẠT</v>
      </c>
      <c r="H11" s="12" t="str">
        <f t="shared" si="1"/>
        <v>ĐẠT</v>
      </c>
      <c r="I11" s="12" t="str">
        <f>IF(SUMPRODUCT((LOAI_XE!$A$2:$A$1000=D11)*(LOAI_XE!$B$2:$B$1000=E11))&gt;0,"ĐẠT","LỆCH")</f>
        <v>ĐẠT</v>
      </c>
      <c r="J11" s="12" t="str">
        <f t="shared" si="2"/>
        <v>ĐẠT</v>
      </c>
      <c r="K11" s="12" t="str">
        <f t="shared" si="3"/>
        <v>ĐẠT</v>
      </c>
    </row>
    <row r="12" spans="1:11" x14ac:dyDescent="0.2">
      <c r="A12" s="16" t="s">
        <v>304</v>
      </c>
      <c r="B12" s="16" t="s">
        <v>305</v>
      </c>
      <c r="C12" s="12" t="str">
        <f t="shared" si="0"/>
        <v>Trống</v>
      </c>
      <c r="D12" s="16" t="s">
        <v>284</v>
      </c>
      <c r="E12" s="16" t="s">
        <v>182</v>
      </c>
      <c r="F12" s="17">
        <f>SUMPRODUCT((LUOT_GUI!$F$2:$F$1000=A12)*(LEN(LUOT_GUI!$E$2:$E$1000)=0))</f>
        <v>0</v>
      </c>
      <c r="G12" s="12" t="str">
        <f>IF(SUMPRODUCT(--(VI_TRI_DO!$A$2:$A$1000=A12))=1,"ĐẠT","LỆCH")</f>
        <v>ĐẠT</v>
      </c>
      <c r="H12" s="12" t="str">
        <f t="shared" si="1"/>
        <v>ĐẠT</v>
      </c>
      <c r="I12" s="12" t="str">
        <f>IF(SUMPRODUCT((LOAI_XE!$A$2:$A$1000=D12)*(LOAI_XE!$B$2:$B$1000=E12))&gt;0,"ĐẠT","LỆCH")</f>
        <v>ĐẠT</v>
      </c>
      <c r="J12" s="12" t="str">
        <f t="shared" si="2"/>
        <v>ĐẠT</v>
      </c>
      <c r="K12" s="12" t="str">
        <f t="shared" si="3"/>
        <v>ĐẠT</v>
      </c>
    </row>
    <row r="13" spans="1:11" x14ac:dyDescent="0.2">
      <c r="A13" s="16" t="s">
        <v>306</v>
      </c>
      <c r="B13" s="16" t="s">
        <v>305</v>
      </c>
      <c r="C13" s="12" t="str">
        <f t="shared" si="0"/>
        <v>Trống</v>
      </c>
      <c r="D13" s="16" t="s">
        <v>284</v>
      </c>
      <c r="E13" s="16" t="s">
        <v>182</v>
      </c>
      <c r="F13" s="17">
        <f>SUMPRODUCT((LUOT_GUI!$F$2:$F$1000=A13)*(LEN(LUOT_GUI!$E$2:$E$1000)=0))</f>
        <v>0</v>
      </c>
      <c r="G13" s="12" t="str">
        <f>IF(SUMPRODUCT(--(VI_TRI_DO!$A$2:$A$1000=A13))=1,"ĐẠT","LỆCH")</f>
        <v>ĐẠT</v>
      </c>
      <c r="H13" s="12" t="str">
        <f t="shared" si="1"/>
        <v>ĐẠT</v>
      </c>
      <c r="I13" s="12" t="str">
        <f>IF(SUMPRODUCT((LOAI_XE!$A$2:$A$1000=D13)*(LOAI_XE!$B$2:$B$1000=E13))&gt;0,"ĐẠT","LỆCH")</f>
        <v>ĐẠT</v>
      </c>
      <c r="J13" s="12" t="str">
        <f t="shared" si="2"/>
        <v>ĐẠT</v>
      </c>
      <c r="K13" s="12" t="str">
        <f t="shared" si="3"/>
        <v>ĐẠT</v>
      </c>
    </row>
    <row r="14" spans="1:11" x14ac:dyDescent="0.2">
      <c r="A14" s="16" t="s">
        <v>307</v>
      </c>
      <c r="B14" s="16" t="s">
        <v>308</v>
      </c>
      <c r="C14" s="12" t="str">
        <f t="shared" si="0"/>
        <v>Trống</v>
      </c>
      <c r="D14" s="16" t="s">
        <v>280</v>
      </c>
      <c r="E14" s="16" t="s">
        <v>185</v>
      </c>
      <c r="F14" s="17">
        <f>SUMPRODUCT((LUOT_GUI!$F$2:$F$1000=A14)*(LEN(LUOT_GUI!$E$2:$E$1000)=0))</f>
        <v>0</v>
      </c>
      <c r="G14" s="12" t="str">
        <f>IF(SUMPRODUCT(--(VI_TRI_DO!$A$2:$A$1000=A14))=1,"ĐẠT","LỆCH")</f>
        <v>ĐẠT</v>
      </c>
      <c r="H14" s="12" t="str">
        <f t="shared" si="1"/>
        <v>ĐẠT</v>
      </c>
      <c r="I14" s="12" t="str">
        <f>IF(SUMPRODUCT((LOAI_XE!$A$2:$A$1000=D14)*(LOAI_XE!$B$2:$B$1000=E14))&gt;0,"ĐẠT","LỆCH")</f>
        <v>ĐẠT</v>
      </c>
      <c r="J14" s="12" t="str">
        <f t="shared" si="2"/>
        <v>ĐẠT</v>
      </c>
      <c r="K14" s="12" t="str">
        <f t="shared" si="3"/>
        <v>ĐẠT</v>
      </c>
    </row>
    <row r="15" spans="1:11" x14ac:dyDescent="0.2">
      <c r="A15" s="16" t="s">
        <v>309</v>
      </c>
      <c r="B15" s="16" t="s">
        <v>308</v>
      </c>
      <c r="C15" s="12" t="str">
        <f t="shared" si="0"/>
        <v>Trống</v>
      </c>
      <c r="D15" s="16" t="s">
        <v>280</v>
      </c>
      <c r="E15" s="16" t="s">
        <v>185</v>
      </c>
      <c r="F15" s="17">
        <f>SUMPRODUCT((LUOT_GUI!$F$2:$F$1000=A15)*(LEN(LUOT_GUI!$E$2:$E$1000)=0))</f>
        <v>0</v>
      </c>
      <c r="G15" s="12" t="str">
        <f>IF(SUMPRODUCT(--(VI_TRI_DO!$A$2:$A$1000=A15))=1,"ĐẠT","LỆCH")</f>
        <v>ĐẠT</v>
      </c>
      <c r="H15" s="12" t="str">
        <f t="shared" si="1"/>
        <v>ĐẠT</v>
      </c>
      <c r="I15" s="12" t="str">
        <f>IF(SUMPRODUCT((LOAI_XE!$A$2:$A$1000=D15)*(LOAI_XE!$B$2:$B$1000=E15))&gt;0,"ĐẠT","LỆCH")</f>
        <v>ĐẠT</v>
      </c>
      <c r="J15" s="12" t="str">
        <f t="shared" si="2"/>
        <v>ĐẠT</v>
      </c>
      <c r="K15" s="12" t="str">
        <f t="shared" si="3"/>
        <v>ĐẠT</v>
      </c>
    </row>
    <row r="16" spans="1:11" x14ac:dyDescent="0.2">
      <c r="A16" s="16" t="s">
        <v>310</v>
      </c>
      <c r="B16" s="16" t="s">
        <v>311</v>
      </c>
      <c r="C16" s="12" t="str">
        <f t="shared" si="0"/>
        <v>Trống</v>
      </c>
      <c r="D16" s="16" t="s">
        <v>280</v>
      </c>
      <c r="E16" s="16" t="s">
        <v>185</v>
      </c>
      <c r="F16" s="17">
        <f>SUMPRODUCT((LUOT_GUI!$F$2:$F$1000=A16)*(LEN(LUOT_GUI!$E$2:$E$1000)=0))</f>
        <v>0</v>
      </c>
      <c r="G16" s="12" t="str">
        <f>IF(SUMPRODUCT(--(VI_TRI_DO!$A$2:$A$1000=A16))=1,"ĐẠT","LỆCH")</f>
        <v>ĐẠT</v>
      </c>
      <c r="H16" s="12" t="str">
        <f t="shared" si="1"/>
        <v>ĐẠT</v>
      </c>
      <c r="I16" s="12" t="str">
        <f>IF(SUMPRODUCT((LOAI_XE!$A$2:$A$1000=D16)*(LOAI_XE!$B$2:$B$1000=E16))&gt;0,"ĐẠT","LỆCH")</f>
        <v>ĐẠT</v>
      </c>
      <c r="J16" s="12" t="str">
        <f t="shared" si="2"/>
        <v>ĐẠT</v>
      </c>
      <c r="K16" s="12" t="str">
        <f t="shared" si="3"/>
        <v>ĐẠT</v>
      </c>
    </row>
    <row r="17" spans="1:11" x14ac:dyDescent="0.2">
      <c r="A17" s="16" t="s">
        <v>312</v>
      </c>
      <c r="B17" s="16" t="s">
        <v>311</v>
      </c>
      <c r="C17" s="12" t="str">
        <f t="shared" si="0"/>
        <v>Trống</v>
      </c>
      <c r="D17" s="16" t="s">
        <v>280</v>
      </c>
      <c r="E17" s="16" t="s">
        <v>185</v>
      </c>
      <c r="F17" s="17">
        <f>SUMPRODUCT((LUOT_GUI!$F$2:$F$1000=A17)*(LEN(LUOT_GUI!$E$2:$E$1000)=0))</f>
        <v>0</v>
      </c>
      <c r="G17" s="12" t="str">
        <f>IF(SUMPRODUCT(--(VI_TRI_DO!$A$2:$A$1000=A17))=1,"ĐẠT","LỆCH")</f>
        <v>ĐẠT</v>
      </c>
      <c r="H17" s="12" t="str">
        <f t="shared" si="1"/>
        <v>ĐẠT</v>
      </c>
      <c r="I17" s="12" t="str">
        <f>IF(SUMPRODUCT((LOAI_XE!$A$2:$A$1000=D17)*(LOAI_XE!$B$2:$B$1000=E17))&gt;0,"ĐẠT","LỆCH")</f>
        <v>ĐẠT</v>
      </c>
      <c r="J17" s="12" t="str">
        <f t="shared" si="2"/>
        <v>ĐẠT</v>
      </c>
      <c r="K17" s="12" t="str">
        <f t="shared" si="3"/>
        <v>ĐẠT</v>
      </c>
    </row>
    <row r="18" spans="1:11" x14ac:dyDescent="0.2">
      <c r="A18" s="16" t="s">
        <v>313</v>
      </c>
      <c r="B18" s="16" t="s">
        <v>314</v>
      </c>
      <c r="C18" s="12" t="str">
        <f t="shared" si="0"/>
        <v>Trống</v>
      </c>
      <c r="D18" s="16" t="s">
        <v>282</v>
      </c>
      <c r="E18" s="16" t="s">
        <v>185</v>
      </c>
      <c r="F18" s="17">
        <f>SUMPRODUCT((LUOT_GUI!$F$2:$F$1000=A18)*(LEN(LUOT_GUI!$E$2:$E$1000)=0))</f>
        <v>0</v>
      </c>
      <c r="G18" s="12" t="str">
        <f>IF(SUMPRODUCT(--(VI_TRI_DO!$A$2:$A$1000=A18))=1,"ĐẠT","LỆCH")</f>
        <v>ĐẠT</v>
      </c>
      <c r="H18" s="12" t="str">
        <f t="shared" si="1"/>
        <v>ĐẠT</v>
      </c>
      <c r="I18" s="12" t="str">
        <f>IF(SUMPRODUCT((LOAI_XE!$A$2:$A$1000=D18)*(LOAI_XE!$B$2:$B$1000=E18))&gt;0,"ĐẠT","LỆCH")</f>
        <v>ĐẠT</v>
      </c>
      <c r="J18" s="12" t="str">
        <f t="shared" si="2"/>
        <v>ĐẠT</v>
      </c>
      <c r="K18" s="12" t="str">
        <f t="shared" si="3"/>
        <v>ĐẠT</v>
      </c>
    </row>
    <row r="19" spans="1:11" x14ac:dyDescent="0.2">
      <c r="A19" s="16" t="s">
        <v>315</v>
      </c>
      <c r="B19" s="16" t="s">
        <v>314</v>
      </c>
      <c r="C19" s="12" t="str">
        <f t="shared" si="0"/>
        <v>Trống</v>
      </c>
      <c r="D19" s="16" t="s">
        <v>282</v>
      </c>
      <c r="E19" s="16" t="s">
        <v>185</v>
      </c>
      <c r="F19" s="17">
        <f>SUMPRODUCT((LUOT_GUI!$F$2:$F$1000=A19)*(LEN(LUOT_GUI!$E$2:$E$1000)=0))</f>
        <v>0</v>
      </c>
      <c r="G19" s="12" t="str">
        <f>IF(SUMPRODUCT(--(VI_TRI_DO!$A$2:$A$1000=A19))=1,"ĐẠT","LỆCH")</f>
        <v>ĐẠT</v>
      </c>
      <c r="H19" s="12" t="str">
        <f t="shared" si="1"/>
        <v>ĐẠT</v>
      </c>
      <c r="I19" s="12" t="str">
        <f>IF(SUMPRODUCT((LOAI_XE!$A$2:$A$1000=D19)*(LOAI_XE!$B$2:$B$1000=E19))&gt;0,"ĐẠT","LỆCH")</f>
        <v>ĐẠT</v>
      </c>
      <c r="J19" s="12" t="str">
        <f t="shared" si="2"/>
        <v>ĐẠT</v>
      </c>
      <c r="K19" s="12" t="str">
        <f t="shared" si="3"/>
        <v>ĐẠT</v>
      </c>
    </row>
    <row r="20" spans="1:11" x14ac:dyDescent="0.2">
      <c r="A20" s="16" t="s">
        <v>316</v>
      </c>
      <c r="B20" s="16" t="s">
        <v>317</v>
      </c>
      <c r="C20" s="12" t="str">
        <f t="shared" si="0"/>
        <v>Trống</v>
      </c>
      <c r="D20" s="16" t="s">
        <v>284</v>
      </c>
      <c r="E20" s="16" t="s">
        <v>185</v>
      </c>
      <c r="F20" s="17">
        <f>SUMPRODUCT((LUOT_GUI!$F$2:$F$1000=A20)*(LEN(LUOT_GUI!$E$2:$E$1000)=0))</f>
        <v>0</v>
      </c>
      <c r="G20" s="12" t="str">
        <f>IF(SUMPRODUCT(--(VI_TRI_DO!$A$2:$A$1000=A20))=1,"ĐẠT","LỆCH")</f>
        <v>ĐẠT</v>
      </c>
      <c r="H20" s="12" t="str">
        <f t="shared" si="1"/>
        <v>ĐẠT</v>
      </c>
      <c r="I20" s="12" t="str">
        <f>IF(SUMPRODUCT((LOAI_XE!$A$2:$A$1000=D20)*(LOAI_XE!$B$2:$B$1000=E20))&gt;0,"ĐẠT","LỆCH")</f>
        <v>ĐẠT</v>
      </c>
      <c r="J20" s="12" t="str">
        <f t="shared" si="2"/>
        <v>ĐẠT</v>
      </c>
      <c r="K20" s="12" t="str">
        <f t="shared" si="3"/>
        <v>ĐẠT</v>
      </c>
    </row>
    <row r="21" spans="1:11" x14ac:dyDescent="0.2">
      <c r="A21" s="16" t="s">
        <v>318</v>
      </c>
      <c r="B21" s="16" t="s">
        <v>317</v>
      </c>
      <c r="C21" s="12" t="str">
        <f t="shared" si="0"/>
        <v>Đã đỗ</v>
      </c>
      <c r="D21" s="16" t="s">
        <v>284</v>
      </c>
      <c r="E21" s="16" t="s">
        <v>185</v>
      </c>
      <c r="F21" s="17">
        <f>SUMPRODUCT((LUOT_GUI!$F$2:$F$1000=A21)*(LEN(LUOT_GUI!$E$2:$E$1000)=0))</f>
        <v>1</v>
      </c>
      <c r="G21" s="12" t="str">
        <f>IF(SUMPRODUCT(--(VI_TRI_DO!$A$2:$A$1000=A21))=1,"ĐẠT","LỆCH")</f>
        <v>ĐẠT</v>
      </c>
      <c r="H21" s="12" t="str">
        <f t="shared" si="1"/>
        <v>ĐẠT</v>
      </c>
      <c r="I21" s="12" t="str">
        <f>IF(SUMPRODUCT((LOAI_XE!$A$2:$A$1000=D21)*(LOAI_XE!$B$2:$B$1000=E21))&gt;0,"ĐẠT","LỆCH")</f>
        <v>ĐẠT</v>
      </c>
      <c r="J21" s="12" t="str">
        <f t="shared" si="2"/>
        <v>ĐẠT</v>
      </c>
      <c r="K21" s="12" t="str">
        <f t="shared" si="3"/>
        <v>ĐẠT</v>
      </c>
    </row>
    <row r="22" spans="1:11" x14ac:dyDescent="0.2">
      <c r="A22" s="16" t="s">
        <v>319</v>
      </c>
      <c r="B22" s="16" t="s">
        <v>317</v>
      </c>
      <c r="C22" s="12" t="str">
        <f t="shared" si="0"/>
        <v>Đã đỗ</v>
      </c>
      <c r="D22" s="16" t="s">
        <v>284</v>
      </c>
      <c r="E22" s="16" t="s">
        <v>185</v>
      </c>
      <c r="F22" s="17">
        <f>SUMPRODUCT((LUOT_GUI!$F$2:$F$1000=A22)*(LEN(LUOT_GUI!$E$2:$E$1000)=0))</f>
        <v>1</v>
      </c>
      <c r="G22" s="12" t="str">
        <f>IF(SUMPRODUCT(--(VI_TRI_DO!$A$2:$A$1000=A22))=1,"ĐẠT","LỆCH")</f>
        <v>ĐẠT</v>
      </c>
      <c r="H22" s="12" t="str">
        <f t="shared" si="1"/>
        <v>ĐẠT</v>
      </c>
      <c r="I22" s="12" t="str">
        <f>IF(SUMPRODUCT((LOAI_XE!$A$2:$A$1000=D22)*(LOAI_XE!$B$2:$B$1000=E22))&gt;0,"ĐẠT","LỆCH")</f>
        <v>ĐẠT</v>
      </c>
      <c r="J22" s="12" t="str">
        <f t="shared" si="2"/>
        <v>ĐẠT</v>
      </c>
      <c r="K22" s="12" t="str">
        <f t="shared" si="3"/>
        <v>ĐẠT</v>
      </c>
    </row>
    <row r="23" spans="1:11" x14ac:dyDescent="0.2">
      <c r="A23" s="16" t="s">
        <v>320</v>
      </c>
      <c r="B23" s="16" t="s">
        <v>317</v>
      </c>
      <c r="C23" s="12" t="str">
        <f t="shared" si="0"/>
        <v>Trống</v>
      </c>
      <c r="D23" s="16" t="s">
        <v>284</v>
      </c>
      <c r="E23" s="16" t="s">
        <v>185</v>
      </c>
      <c r="F23" s="17">
        <f>SUMPRODUCT((LUOT_GUI!$F$2:$F$1000=A23)*(LEN(LUOT_GUI!$E$2:$E$1000)=0))</f>
        <v>0</v>
      </c>
      <c r="G23" s="12" t="str">
        <f>IF(SUMPRODUCT(--(VI_TRI_DO!$A$2:$A$1000=A23))=1,"ĐẠT","LỆCH")</f>
        <v>ĐẠT</v>
      </c>
      <c r="H23" s="12" t="str">
        <f t="shared" si="1"/>
        <v>ĐẠT</v>
      </c>
      <c r="I23" s="12" t="str">
        <f>IF(SUMPRODUCT((LOAI_XE!$A$2:$A$1000=D23)*(LOAI_XE!$B$2:$B$1000=E23))&gt;0,"ĐẠT","LỆCH")</f>
        <v>ĐẠT</v>
      </c>
      <c r="J23" s="12" t="str">
        <f t="shared" si="2"/>
        <v>ĐẠT</v>
      </c>
      <c r="K23" s="12" t="str">
        <f t="shared" si="3"/>
        <v>ĐẠT</v>
      </c>
    </row>
    <row r="24" spans="1:11" x14ac:dyDescent="0.2">
      <c r="A24" s="16" t="s">
        <v>321</v>
      </c>
      <c r="B24" s="16" t="s">
        <v>322</v>
      </c>
      <c r="C24" s="12" t="str">
        <f t="shared" si="0"/>
        <v>Trống</v>
      </c>
      <c r="D24" s="16" t="s">
        <v>284</v>
      </c>
      <c r="E24" s="16" t="s">
        <v>185</v>
      </c>
      <c r="F24" s="17">
        <f>SUMPRODUCT((LUOT_GUI!$F$2:$F$1000=A24)*(LEN(LUOT_GUI!$E$2:$E$1000)=0))</f>
        <v>0</v>
      </c>
      <c r="G24" s="12" t="str">
        <f>IF(SUMPRODUCT(--(VI_TRI_DO!$A$2:$A$1000=A24))=1,"ĐẠT","LỆCH")</f>
        <v>ĐẠT</v>
      </c>
      <c r="H24" s="12" t="str">
        <f t="shared" si="1"/>
        <v>ĐẠT</v>
      </c>
      <c r="I24" s="12" t="str">
        <f>IF(SUMPRODUCT((LOAI_XE!$A$2:$A$1000=D24)*(LOAI_XE!$B$2:$B$1000=E24))&gt;0,"ĐẠT","LỆCH")</f>
        <v>ĐẠT</v>
      </c>
      <c r="J24" s="12" t="str">
        <f t="shared" si="2"/>
        <v>ĐẠT</v>
      </c>
      <c r="K24" s="12" t="str">
        <f t="shared" si="3"/>
        <v>ĐẠT</v>
      </c>
    </row>
    <row r="25" spans="1:11" x14ac:dyDescent="0.2">
      <c r="A25" s="16" t="s">
        <v>323</v>
      </c>
      <c r="B25" s="16" t="s">
        <v>322</v>
      </c>
      <c r="C25" s="12" t="str">
        <f t="shared" si="0"/>
        <v>Trống</v>
      </c>
      <c r="D25" s="16" t="s">
        <v>284</v>
      </c>
      <c r="E25" s="16" t="s">
        <v>185</v>
      </c>
      <c r="F25" s="17">
        <f>SUMPRODUCT((LUOT_GUI!$F$2:$F$1000=A25)*(LEN(LUOT_GUI!$E$2:$E$1000)=0))</f>
        <v>0</v>
      </c>
      <c r="G25" s="12" t="str">
        <f>IF(SUMPRODUCT(--(VI_TRI_DO!$A$2:$A$1000=A25))=1,"ĐẠT","LỆCH")</f>
        <v>ĐẠT</v>
      </c>
      <c r="H25" s="12" t="str">
        <f t="shared" si="1"/>
        <v>ĐẠT</v>
      </c>
      <c r="I25" s="12" t="str">
        <f>IF(SUMPRODUCT((LOAI_XE!$A$2:$A$1000=D25)*(LOAI_XE!$B$2:$B$1000=E25))&gt;0,"ĐẠT","LỆCH")</f>
        <v>ĐẠT</v>
      </c>
      <c r="J25" s="12" t="str">
        <f t="shared" si="2"/>
        <v>ĐẠT</v>
      </c>
      <c r="K25" s="12" t="str">
        <f t="shared" si="3"/>
        <v>ĐẠT</v>
      </c>
    </row>
    <row r="26" spans="1:11" x14ac:dyDescent="0.2">
      <c r="A26" s="16" t="s">
        <v>324</v>
      </c>
      <c r="B26" s="16" t="s">
        <v>325</v>
      </c>
      <c r="C26" s="12" t="str">
        <f t="shared" si="0"/>
        <v>Trống</v>
      </c>
      <c r="D26" s="16" t="s">
        <v>280</v>
      </c>
      <c r="E26" s="16" t="s">
        <v>188</v>
      </c>
      <c r="F26" s="17">
        <f>SUMPRODUCT((LUOT_GUI!$F$2:$F$1000=A26)*(LEN(LUOT_GUI!$E$2:$E$1000)=0))</f>
        <v>0</v>
      </c>
      <c r="G26" s="12" t="str">
        <f>IF(SUMPRODUCT(--(VI_TRI_DO!$A$2:$A$1000=A26))=1,"ĐẠT","LỆCH")</f>
        <v>ĐẠT</v>
      </c>
      <c r="H26" s="12" t="str">
        <f t="shared" si="1"/>
        <v>ĐẠT</v>
      </c>
      <c r="I26" s="12" t="str">
        <f>IF(SUMPRODUCT((LOAI_XE!$A$2:$A$1000=D26)*(LOAI_XE!$B$2:$B$1000=E26))&gt;0,"ĐẠT","LỆCH")</f>
        <v>ĐẠT</v>
      </c>
      <c r="J26" s="12" t="str">
        <f t="shared" si="2"/>
        <v>ĐẠT</v>
      </c>
      <c r="K26" s="12" t="str">
        <f t="shared" si="3"/>
        <v>ĐẠT</v>
      </c>
    </row>
    <row r="27" spans="1:11" x14ac:dyDescent="0.2">
      <c r="A27" s="16" t="s">
        <v>326</v>
      </c>
      <c r="B27" s="16" t="s">
        <v>325</v>
      </c>
      <c r="C27" s="12" t="str">
        <f t="shared" si="0"/>
        <v>Trống</v>
      </c>
      <c r="D27" s="16" t="s">
        <v>280</v>
      </c>
      <c r="E27" s="16" t="s">
        <v>188</v>
      </c>
      <c r="F27" s="17">
        <f>SUMPRODUCT((LUOT_GUI!$F$2:$F$1000=A27)*(LEN(LUOT_GUI!$E$2:$E$1000)=0))</f>
        <v>0</v>
      </c>
      <c r="G27" s="12" t="str">
        <f>IF(SUMPRODUCT(--(VI_TRI_DO!$A$2:$A$1000=A27))=1,"ĐẠT","LỆCH")</f>
        <v>ĐẠT</v>
      </c>
      <c r="H27" s="12" t="str">
        <f t="shared" si="1"/>
        <v>ĐẠT</v>
      </c>
      <c r="I27" s="12" t="str">
        <f>IF(SUMPRODUCT((LOAI_XE!$A$2:$A$1000=D27)*(LOAI_XE!$B$2:$B$1000=E27))&gt;0,"ĐẠT","LỆCH")</f>
        <v>ĐẠT</v>
      </c>
      <c r="J27" s="12" t="str">
        <f t="shared" si="2"/>
        <v>ĐẠT</v>
      </c>
      <c r="K27" s="12" t="str">
        <f t="shared" si="3"/>
        <v>ĐẠT</v>
      </c>
    </row>
    <row r="28" spans="1:11" x14ac:dyDescent="0.2">
      <c r="A28" s="16" t="s">
        <v>327</v>
      </c>
      <c r="B28" s="16" t="s">
        <v>328</v>
      </c>
      <c r="C28" s="12" t="str">
        <f t="shared" si="0"/>
        <v>Trống</v>
      </c>
      <c r="D28" s="16" t="s">
        <v>280</v>
      </c>
      <c r="E28" s="16" t="s">
        <v>188</v>
      </c>
      <c r="F28" s="17">
        <f>SUMPRODUCT((LUOT_GUI!$F$2:$F$1000=A28)*(LEN(LUOT_GUI!$E$2:$E$1000)=0))</f>
        <v>0</v>
      </c>
      <c r="G28" s="12" t="str">
        <f>IF(SUMPRODUCT(--(VI_TRI_DO!$A$2:$A$1000=A28))=1,"ĐẠT","LỆCH")</f>
        <v>ĐẠT</v>
      </c>
      <c r="H28" s="12" t="str">
        <f t="shared" si="1"/>
        <v>ĐẠT</v>
      </c>
      <c r="I28" s="12" t="str">
        <f>IF(SUMPRODUCT((LOAI_XE!$A$2:$A$1000=D28)*(LOAI_XE!$B$2:$B$1000=E28))&gt;0,"ĐẠT","LỆCH")</f>
        <v>ĐẠT</v>
      </c>
      <c r="J28" s="12" t="str">
        <f t="shared" si="2"/>
        <v>ĐẠT</v>
      </c>
      <c r="K28" s="12" t="str">
        <f t="shared" si="3"/>
        <v>ĐẠT</v>
      </c>
    </row>
    <row r="29" spans="1:11" x14ac:dyDescent="0.2">
      <c r="A29" s="16" t="s">
        <v>329</v>
      </c>
      <c r="B29" s="16" t="s">
        <v>330</v>
      </c>
      <c r="C29" s="12" t="str">
        <f t="shared" si="0"/>
        <v>Trống</v>
      </c>
      <c r="D29" s="16" t="s">
        <v>282</v>
      </c>
      <c r="E29" s="16" t="s">
        <v>188</v>
      </c>
      <c r="F29" s="17">
        <f>SUMPRODUCT((LUOT_GUI!$F$2:$F$1000=A29)*(LEN(LUOT_GUI!$E$2:$E$1000)=0))</f>
        <v>0</v>
      </c>
      <c r="G29" s="12" t="str">
        <f>IF(SUMPRODUCT(--(VI_TRI_DO!$A$2:$A$1000=A29))=1,"ĐẠT","LỆCH")</f>
        <v>ĐẠT</v>
      </c>
      <c r="H29" s="12" t="str">
        <f t="shared" si="1"/>
        <v>ĐẠT</v>
      </c>
      <c r="I29" s="12" t="str">
        <f>IF(SUMPRODUCT((LOAI_XE!$A$2:$A$1000=D29)*(LOAI_XE!$B$2:$B$1000=E29))&gt;0,"ĐẠT","LỆCH")</f>
        <v>ĐẠT</v>
      </c>
      <c r="J29" s="12" t="str">
        <f t="shared" si="2"/>
        <v>ĐẠT</v>
      </c>
      <c r="K29" s="12" t="str">
        <f t="shared" si="3"/>
        <v>ĐẠT</v>
      </c>
    </row>
    <row r="30" spans="1:11" x14ac:dyDescent="0.2">
      <c r="A30" s="16" t="s">
        <v>331</v>
      </c>
      <c r="B30" s="16" t="s">
        <v>332</v>
      </c>
      <c r="C30" s="12" t="str">
        <f t="shared" si="0"/>
        <v>Trống</v>
      </c>
      <c r="D30" s="16" t="s">
        <v>282</v>
      </c>
      <c r="E30" s="16" t="s">
        <v>188</v>
      </c>
      <c r="F30" s="17">
        <f>SUMPRODUCT((LUOT_GUI!$F$2:$F$1000=A30)*(LEN(LUOT_GUI!$E$2:$E$1000)=0))</f>
        <v>0</v>
      </c>
      <c r="G30" s="12" t="str">
        <f>IF(SUMPRODUCT(--(VI_TRI_DO!$A$2:$A$1000=A30))=1,"ĐẠT","LỆCH")</f>
        <v>ĐẠT</v>
      </c>
      <c r="H30" s="12" t="str">
        <f t="shared" si="1"/>
        <v>ĐẠT</v>
      </c>
      <c r="I30" s="12" t="str">
        <f>IF(SUMPRODUCT((LOAI_XE!$A$2:$A$1000=D30)*(LOAI_XE!$B$2:$B$1000=E30))&gt;0,"ĐẠT","LỆCH")</f>
        <v>ĐẠT</v>
      </c>
      <c r="J30" s="12" t="str">
        <f t="shared" si="2"/>
        <v>ĐẠT</v>
      </c>
      <c r="K30" s="12" t="str">
        <f t="shared" si="3"/>
        <v>ĐẠT</v>
      </c>
    </row>
    <row r="31" spans="1:11" x14ac:dyDescent="0.2">
      <c r="A31" s="16" t="s">
        <v>333</v>
      </c>
      <c r="B31" s="16" t="s">
        <v>334</v>
      </c>
      <c r="C31" s="12" t="str">
        <f t="shared" si="0"/>
        <v>Trống</v>
      </c>
      <c r="D31" s="16" t="s">
        <v>284</v>
      </c>
      <c r="E31" s="16" t="s">
        <v>188</v>
      </c>
      <c r="F31" s="17">
        <f>SUMPRODUCT((LUOT_GUI!$F$2:$F$1000=A31)*(LEN(LUOT_GUI!$E$2:$E$1000)=0))</f>
        <v>0</v>
      </c>
      <c r="G31" s="12" t="str">
        <f>IF(SUMPRODUCT(--(VI_TRI_DO!$A$2:$A$1000=A31))=1,"ĐẠT","LỆCH")</f>
        <v>ĐẠT</v>
      </c>
      <c r="H31" s="12" t="str">
        <f t="shared" si="1"/>
        <v>ĐẠT</v>
      </c>
      <c r="I31" s="12" t="str">
        <f>IF(SUMPRODUCT((LOAI_XE!$A$2:$A$1000=D31)*(LOAI_XE!$B$2:$B$1000=E31))&gt;0,"ĐẠT","LỆCH")</f>
        <v>ĐẠT</v>
      </c>
      <c r="J31" s="12" t="str">
        <f t="shared" si="2"/>
        <v>ĐẠT</v>
      </c>
      <c r="K31" s="12" t="str">
        <f t="shared" si="3"/>
        <v>ĐẠT</v>
      </c>
    </row>
    <row r="32" spans="1:11" x14ac:dyDescent="0.2">
      <c r="A32" s="16" t="s">
        <v>335</v>
      </c>
      <c r="B32" s="16" t="s">
        <v>334</v>
      </c>
      <c r="C32" s="12" t="str">
        <f t="shared" si="0"/>
        <v>Đã đỗ</v>
      </c>
      <c r="D32" s="16" t="s">
        <v>284</v>
      </c>
      <c r="E32" s="16" t="s">
        <v>188</v>
      </c>
      <c r="F32" s="17">
        <f>SUMPRODUCT((LUOT_GUI!$F$2:$F$1000=A32)*(LEN(LUOT_GUI!$E$2:$E$1000)=0))</f>
        <v>1</v>
      </c>
      <c r="G32" s="12" t="str">
        <f>IF(SUMPRODUCT(--(VI_TRI_DO!$A$2:$A$1000=A32))=1,"ĐẠT","LỆCH")</f>
        <v>ĐẠT</v>
      </c>
      <c r="H32" s="12" t="str">
        <f t="shared" si="1"/>
        <v>ĐẠT</v>
      </c>
      <c r="I32" s="12" t="str">
        <f>IF(SUMPRODUCT((LOAI_XE!$A$2:$A$1000=D32)*(LOAI_XE!$B$2:$B$1000=E32))&gt;0,"ĐẠT","LỆCH")</f>
        <v>ĐẠT</v>
      </c>
      <c r="J32" s="12" t="str">
        <f t="shared" si="2"/>
        <v>ĐẠT</v>
      </c>
      <c r="K32" s="12" t="str">
        <f t="shared" si="3"/>
        <v>ĐẠT</v>
      </c>
    </row>
    <row r="33" spans="1:11" x14ac:dyDescent="0.2">
      <c r="A33" s="16" t="s">
        <v>336</v>
      </c>
      <c r="B33" s="16" t="s">
        <v>334</v>
      </c>
      <c r="C33" s="12" t="str">
        <f t="shared" si="0"/>
        <v>Trống</v>
      </c>
      <c r="D33" s="16" t="s">
        <v>284</v>
      </c>
      <c r="E33" s="16" t="s">
        <v>188</v>
      </c>
      <c r="F33" s="17">
        <f>SUMPRODUCT((LUOT_GUI!$F$2:$F$1000=A33)*(LEN(LUOT_GUI!$E$2:$E$1000)=0))</f>
        <v>0</v>
      </c>
      <c r="G33" s="12" t="str">
        <f>IF(SUMPRODUCT(--(VI_TRI_DO!$A$2:$A$1000=A33))=1,"ĐẠT","LỆCH")</f>
        <v>ĐẠT</v>
      </c>
      <c r="H33" s="12" t="str">
        <f t="shared" si="1"/>
        <v>ĐẠT</v>
      </c>
      <c r="I33" s="12" t="str">
        <f>IF(SUMPRODUCT((LOAI_XE!$A$2:$A$1000=D33)*(LOAI_XE!$B$2:$B$1000=E33))&gt;0,"ĐẠT","LỆCH")</f>
        <v>ĐẠT</v>
      </c>
      <c r="J33" s="12" t="str">
        <f t="shared" si="2"/>
        <v>ĐẠT</v>
      </c>
      <c r="K33" s="12" t="str">
        <f t="shared" si="3"/>
        <v>ĐẠT</v>
      </c>
    </row>
    <row r="34" spans="1:11" x14ac:dyDescent="0.2">
      <c r="A34" s="16" t="s">
        <v>337</v>
      </c>
      <c r="B34" s="16" t="s">
        <v>338</v>
      </c>
      <c r="C34" s="12" t="str">
        <f t="shared" ref="C34:C61" si="4">IF(F34&gt;0,"Đã đỗ","Trống")</f>
        <v>Trống</v>
      </c>
      <c r="D34" s="16" t="s">
        <v>284</v>
      </c>
      <c r="E34" s="16" t="s">
        <v>188</v>
      </c>
      <c r="F34" s="17">
        <f>SUMPRODUCT((LUOT_GUI!$F$2:$F$1000=A34)*(LEN(LUOT_GUI!$E$2:$E$1000)=0))</f>
        <v>0</v>
      </c>
      <c r="G34" s="12" t="str">
        <f>IF(SUMPRODUCT(--(VI_TRI_DO!$A$2:$A$1000=A34))=1,"ĐẠT","LỆCH")</f>
        <v>ĐẠT</v>
      </c>
      <c r="H34" s="12" t="str">
        <f t="shared" ref="H34:H61" si="5">IF(LEFT(A34,LEN(SUBSTITUTE(E34,"BAI_",""))+LEN(D34)+2)=SUBSTITUTE(E34,"BAI_","")&amp;"_"&amp;D34&amp;"_","ĐẠT","LỆCH")</f>
        <v>ĐẠT</v>
      </c>
      <c r="I34" s="12" t="str">
        <f>IF(SUMPRODUCT((LOAI_XE!$A$2:$A$1000=D34)*(LOAI_XE!$B$2:$B$1000=E34))&gt;0,"ĐẠT","LỆCH")</f>
        <v>ĐẠT</v>
      </c>
      <c r="J34" s="12" t="str">
        <f t="shared" ref="J34:J61" si="6">IF(LEN(B34)&lt;=20,"ĐẠT","LỆCH")</f>
        <v>ĐẠT</v>
      </c>
      <c r="K34" s="12" t="str">
        <f t="shared" ref="K34:K61" si="7">IF(F34&lt;=1,"ĐẠT","LỆCH")</f>
        <v>ĐẠT</v>
      </c>
    </row>
    <row r="35" spans="1:11" x14ac:dyDescent="0.2">
      <c r="A35" s="16" t="s">
        <v>339</v>
      </c>
      <c r="B35" s="16" t="s">
        <v>338</v>
      </c>
      <c r="C35" s="12" t="str">
        <f t="shared" si="4"/>
        <v>Trống</v>
      </c>
      <c r="D35" s="16" t="s">
        <v>284</v>
      </c>
      <c r="E35" s="16" t="s">
        <v>188</v>
      </c>
      <c r="F35" s="17">
        <f>SUMPRODUCT((LUOT_GUI!$F$2:$F$1000=A35)*(LEN(LUOT_GUI!$E$2:$E$1000)=0))</f>
        <v>0</v>
      </c>
      <c r="G35" s="12" t="str">
        <f>IF(SUMPRODUCT(--(VI_TRI_DO!$A$2:$A$1000=A35))=1,"ĐẠT","LỆCH")</f>
        <v>ĐẠT</v>
      </c>
      <c r="H35" s="12" t="str">
        <f t="shared" si="5"/>
        <v>ĐẠT</v>
      </c>
      <c r="I35" s="12" t="str">
        <f>IF(SUMPRODUCT((LOAI_XE!$A$2:$A$1000=D35)*(LOAI_XE!$B$2:$B$1000=E35))&gt;0,"ĐẠT","LỆCH")</f>
        <v>ĐẠT</v>
      </c>
      <c r="J35" s="12" t="str">
        <f t="shared" si="6"/>
        <v>ĐẠT</v>
      </c>
      <c r="K35" s="12" t="str">
        <f t="shared" si="7"/>
        <v>ĐẠT</v>
      </c>
    </row>
    <row r="36" spans="1:11" x14ac:dyDescent="0.2">
      <c r="A36" s="16" t="s">
        <v>340</v>
      </c>
      <c r="B36" s="16" t="s">
        <v>290</v>
      </c>
      <c r="C36" s="12" t="str">
        <f t="shared" si="4"/>
        <v>Đã đỗ</v>
      </c>
      <c r="D36" s="16" t="s">
        <v>280</v>
      </c>
      <c r="E36" s="16" t="s">
        <v>191</v>
      </c>
      <c r="F36" s="17">
        <f>SUMPRODUCT((LUOT_GUI!$F$2:$F$1000=A36)*(LEN(LUOT_GUI!$E$2:$E$1000)=0))</f>
        <v>1</v>
      </c>
      <c r="G36" s="12" t="str">
        <f>IF(SUMPRODUCT(--(VI_TRI_DO!$A$2:$A$1000=A36))=1,"ĐẠT","LỆCH")</f>
        <v>ĐẠT</v>
      </c>
      <c r="H36" s="12" t="str">
        <f t="shared" si="5"/>
        <v>ĐẠT</v>
      </c>
      <c r="I36" s="12" t="str">
        <f>IF(SUMPRODUCT((LOAI_XE!$A$2:$A$1000=D36)*(LOAI_XE!$B$2:$B$1000=E36))&gt;0,"ĐẠT","LỆCH")</f>
        <v>ĐẠT</v>
      </c>
      <c r="J36" s="12" t="str">
        <f t="shared" si="6"/>
        <v>ĐẠT</v>
      </c>
      <c r="K36" s="12" t="str">
        <f t="shared" si="7"/>
        <v>ĐẠT</v>
      </c>
    </row>
    <row r="37" spans="1:11" x14ac:dyDescent="0.2">
      <c r="A37" s="16" t="s">
        <v>341</v>
      </c>
      <c r="B37" s="16" t="s">
        <v>290</v>
      </c>
      <c r="C37" s="12" t="str">
        <f t="shared" si="4"/>
        <v>Trống</v>
      </c>
      <c r="D37" s="16" t="s">
        <v>280</v>
      </c>
      <c r="E37" s="16" t="s">
        <v>191</v>
      </c>
      <c r="F37" s="17">
        <f>SUMPRODUCT((LUOT_GUI!$F$2:$F$1000=A37)*(LEN(LUOT_GUI!$E$2:$E$1000)=0))</f>
        <v>0</v>
      </c>
      <c r="G37" s="12" t="str">
        <f>IF(SUMPRODUCT(--(VI_TRI_DO!$A$2:$A$1000=A37))=1,"ĐẠT","LỆCH")</f>
        <v>ĐẠT</v>
      </c>
      <c r="H37" s="12" t="str">
        <f t="shared" si="5"/>
        <v>ĐẠT</v>
      </c>
      <c r="I37" s="12" t="str">
        <f>IF(SUMPRODUCT((LOAI_XE!$A$2:$A$1000=D37)*(LOAI_XE!$B$2:$B$1000=E37))&gt;0,"ĐẠT","LỆCH")</f>
        <v>ĐẠT</v>
      </c>
      <c r="J37" s="12" t="str">
        <f t="shared" si="6"/>
        <v>ĐẠT</v>
      </c>
      <c r="K37" s="12" t="str">
        <f t="shared" si="7"/>
        <v>ĐẠT</v>
      </c>
    </row>
    <row r="38" spans="1:11" x14ac:dyDescent="0.2">
      <c r="A38" s="16" t="s">
        <v>342</v>
      </c>
      <c r="B38" s="16" t="s">
        <v>290</v>
      </c>
      <c r="C38" s="12" t="str">
        <f t="shared" si="4"/>
        <v>Trống</v>
      </c>
      <c r="D38" s="16" t="s">
        <v>280</v>
      </c>
      <c r="E38" s="16" t="s">
        <v>191</v>
      </c>
      <c r="F38" s="17">
        <f>SUMPRODUCT((LUOT_GUI!$F$2:$F$1000=A38)*(LEN(LUOT_GUI!$E$2:$E$1000)=0))</f>
        <v>0</v>
      </c>
      <c r="G38" s="12" t="str">
        <f>IF(SUMPRODUCT(--(VI_TRI_DO!$A$2:$A$1000=A38))=1,"ĐẠT","LỆCH")</f>
        <v>ĐẠT</v>
      </c>
      <c r="H38" s="12" t="str">
        <f t="shared" si="5"/>
        <v>ĐẠT</v>
      </c>
      <c r="I38" s="12" t="str">
        <f>IF(SUMPRODUCT((LOAI_XE!$A$2:$A$1000=D38)*(LOAI_XE!$B$2:$B$1000=E38))&gt;0,"ĐẠT","LỆCH")</f>
        <v>ĐẠT</v>
      </c>
      <c r="J38" s="12" t="str">
        <f t="shared" si="6"/>
        <v>ĐẠT</v>
      </c>
      <c r="K38" s="12" t="str">
        <f t="shared" si="7"/>
        <v>ĐẠT</v>
      </c>
    </row>
    <row r="39" spans="1:11" x14ac:dyDescent="0.2">
      <c r="A39" s="16" t="s">
        <v>343</v>
      </c>
      <c r="B39" s="16" t="s">
        <v>293</v>
      </c>
      <c r="C39" s="12" t="str">
        <f t="shared" si="4"/>
        <v>Trống</v>
      </c>
      <c r="D39" s="16" t="s">
        <v>280</v>
      </c>
      <c r="E39" s="16" t="s">
        <v>191</v>
      </c>
      <c r="F39" s="17">
        <f>SUMPRODUCT((LUOT_GUI!$F$2:$F$1000=A39)*(LEN(LUOT_GUI!$E$2:$E$1000)=0))</f>
        <v>0</v>
      </c>
      <c r="G39" s="12" t="str">
        <f>IF(SUMPRODUCT(--(VI_TRI_DO!$A$2:$A$1000=A39))=1,"ĐẠT","LỆCH")</f>
        <v>ĐẠT</v>
      </c>
      <c r="H39" s="12" t="str">
        <f t="shared" si="5"/>
        <v>ĐẠT</v>
      </c>
      <c r="I39" s="12" t="str">
        <f>IF(SUMPRODUCT((LOAI_XE!$A$2:$A$1000=D39)*(LOAI_XE!$B$2:$B$1000=E39))&gt;0,"ĐẠT","LỆCH")</f>
        <v>ĐẠT</v>
      </c>
      <c r="J39" s="12" t="str">
        <f t="shared" si="6"/>
        <v>ĐẠT</v>
      </c>
      <c r="K39" s="12" t="str">
        <f t="shared" si="7"/>
        <v>ĐẠT</v>
      </c>
    </row>
    <row r="40" spans="1:11" x14ac:dyDescent="0.2">
      <c r="A40" s="16" t="s">
        <v>344</v>
      </c>
      <c r="B40" s="16" t="s">
        <v>293</v>
      </c>
      <c r="C40" s="12" t="str">
        <f t="shared" si="4"/>
        <v>Trống</v>
      </c>
      <c r="D40" s="16" t="s">
        <v>280</v>
      </c>
      <c r="E40" s="16" t="s">
        <v>191</v>
      </c>
      <c r="F40" s="17">
        <f>SUMPRODUCT((LUOT_GUI!$F$2:$F$1000=A40)*(LEN(LUOT_GUI!$E$2:$E$1000)=0))</f>
        <v>0</v>
      </c>
      <c r="G40" s="12" t="str">
        <f>IF(SUMPRODUCT(--(VI_TRI_DO!$A$2:$A$1000=A40))=1,"ĐẠT","LỆCH")</f>
        <v>ĐẠT</v>
      </c>
      <c r="H40" s="12" t="str">
        <f t="shared" si="5"/>
        <v>ĐẠT</v>
      </c>
      <c r="I40" s="12" t="str">
        <f>IF(SUMPRODUCT((LOAI_XE!$A$2:$A$1000=D40)*(LOAI_XE!$B$2:$B$1000=E40))&gt;0,"ĐẠT","LỆCH")</f>
        <v>ĐẠT</v>
      </c>
      <c r="J40" s="12" t="str">
        <f t="shared" si="6"/>
        <v>ĐẠT</v>
      </c>
      <c r="K40" s="12" t="str">
        <f t="shared" si="7"/>
        <v>ĐẠT</v>
      </c>
    </row>
    <row r="41" spans="1:11" x14ac:dyDescent="0.2">
      <c r="A41" s="16" t="s">
        <v>345</v>
      </c>
      <c r="B41" s="16" t="s">
        <v>346</v>
      </c>
      <c r="C41" s="12" t="str">
        <f t="shared" si="4"/>
        <v>Trống</v>
      </c>
      <c r="D41" s="16" t="s">
        <v>282</v>
      </c>
      <c r="E41" s="16" t="s">
        <v>191</v>
      </c>
      <c r="F41" s="17">
        <f>SUMPRODUCT((LUOT_GUI!$F$2:$F$1000=A41)*(LEN(LUOT_GUI!$E$2:$E$1000)=0))</f>
        <v>0</v>
      </c>
      <c r="G41" s="12" t="str">
        <f>IF(SUMPRODUCT(--(VI_TRI_DO!$A$2:$A$1000=A41))=1,"ĐẠT","LỆCH")</f>
        <v>ĐẠT</v>
      </c>
      <c r="H41" s="12" t="str">
        <f t="shared" si="5"/>
        <v>ĐẠT</v>
      </c>
      <c r="I41" s="12" t="str">
        <f>IF(SUMPRODUCT((LOAI_XE!$A$2:$A$1000=D41)*(LOAI_XE!$B$2:$B$1000=E41))&gt;0,"ĐẠT","LỆCH")</f>
        <v>ĐẠT</v>
      </c>
      <c r="J41" s="12" t="str">
        <f t="shared" si="6"/>
        <v>ĐẠT</v>
      </c>
      <c r="K41" s="12" t="str">
        <f t="shared" si="7"/>
        <v>ĐẠT</v>
      </c>
    </row>
    <row r="42" spans="1:11" x14ac:dyDescent="0.2">
      <c r="A42" s="16" t="s">
        <v>347</v>
      </c>
      <c r="B42" s="16" t="s">
        <v>346</v>
      </c>
      <c r="C42" s="12" t="str">
        <f t="shared" si="4"/>
        <v>Trống</v>
      </c>
      <c r="D42" s="16" t="s">
        <v>282</v>
      </c>
      <c r="E42" s="16" t="s">
        <v>191</v>
      </c>
      <c r="F42" s="17">
        <f>SUMPRODUCT((LUOT_GUI!$F$2:$F$1000=A42)*(LEN(LUOT_GUI!$E$2:$E$1000)=0))</f>
        <v>0</v>
      </c>
      <c r="G42" s="12" t="str">
        <f>IF(SUMPRODUCT(--(VI_TRI_DO!$A$2:$A$1000=A42))=1,"ĐẠT","LỆCH")</f>
        <v>ĐẠT</v>
      </c>
      <c r="H42" s="12" t="str">
        <f t="shared" si="5"/>
        <v>ĐẠT</v>
      </c>
      <c r="I42" s="12" t="str">
        <f>IF(SUMPRODUCT((LOAI_XE!$A$2:$A$1000=D42)*(LOAI_XE!$B$2:$B$1000=E42))&gt;0,"ĐẠT","LỆCH")</f>
        <v>ĐẠT</v>
      </c>
      <c r="J42" s="12" t="str">
        <f t="shared" si="6"/>
        <v>ĐẠT</v>
      </c>
      <c r="K42" s="12" t="str">
        <f t="shared" si="7"/>
        <v>ĐẠT</v>
      </c>
    </row>
    <row r="43" spans="1:11" x14ac:dyDescent="0.2">
      <c r="A43" s="16" t="s">
        <v>348</v>
      </c>
      <c r="B43" s="16" t="s">
        <v>349</v>
      </c>
      <c r="C43" s="12" t="str">
        <f t="shared" si="4"/>
        <v>Đã đỗ</v>
      </c>
      <c r="D43" s="16" t="s">
        <v>284</v>
      </c>
      <c r="E43" s="16" t="s">
        <v>191</v>
      </c>
      <c r="F43" s="17">
        <f>SUMPRODUCT((LUOT_GUI!$F$2:$F$1000=A43)*(LEN(LUOT_GUI!$E$2:$E$1000)=0))</f>
        <v>1</v>
      </c>
      <c r="G43" s="12" t="str">
        <f>IF(SUMPRODUCT(--(VI_TRI_DO!$A$2:$A$1000=A43))=1,"ĐẠT","LỆCH")</f>
        <v>ĐẠT</v>
      </c>
      <c r="H43" s="12" t="str">
        <f t="shared" si="5"/>
        <v>ĐẠT</v>
      </c>
      <c r="I43" s="12" t="str">
        <f>IF(SUMPRODUCT((LOAI_XE!$A$2:$A$1000=D43)*(LOAI_XE!$B$2:$B$1000=E43))&gt;0,"ĐẠT","LỆCH")</f>
        <v>ĐẠT</v>
      </c>
      <c r="J43" s="12" t="str">
        <f t="shared" si="6"/>
        <v>ĐẠT</v>
      </c>
      <c r="K43" s="12" t="str">
        <f t="shared" si="7"/>
        <v>ĐẠT</v>
      </c>
    </row>
    <row r="44" spans="1:11" x14ac:dyDescent="0.2">
      <c r="A44" s="16" t="s">
        <v>350</v>
      </c>
      <c r="B44" s="16" t="s">
        <v>349</v>
      </c>
      <c r="C44" s="12" t="str">
        <f t="shared" si="4"/>
        <v>Trống</v>
      </c>
      <c r="D44" s="16" t="s">
        <v>284</v>
      </c>
      <c r="E44" s="16" t="s">
        <v>191</v>
      </c>
      <c r="F44" s="17">
        <f>SUMPRODUCT((LUOT_GUI!$F$2:$F$1000=A44)*(LEN(LUOT_GUI!$E$2:$E$1000)=0))</f>
        <v>0</v>
      </c>
      <c r="G44" s="12" t="str">
        <f>IF(SUMPRODUCT(--(VI_TRI_DO!$A$2:$A$1000=A44))=1,"ĐẠT","LỆCH")</f>
        <v>ĐẠT</v>
      </c>
      <c r="H44" s="12" t="str">
        <f t="shared" si="5"/>
        <v>ĐẠT</v>
      </c>
      <c r="I44" s="12" t="str">
        <f>IF(SUMPRODUCT((LOAI_XE!$A$2:$A$1000=D44)*(LOAI_XE!$B$2:$B$1000=E44))&gt;0,"ĐẠT","LỆCH")</f>
        <v>ĐẠT</v>
      </c>
      <c r="J44" s="12" t="str">
        <f t="shared" si="6"/>
        <v>ĐẠT</v>
      </c>
      <c r="K44" s="12" t="str">
        <f t="shared" si="7"/>
        <v>ĐẠT</v>
      </c>
    </row>
    <row r="45" spans="1:11" x14ac:dyDescent="0.2">
      <c r="A45" s="16" t="s">
        <v>351</v>
      </c>
      <c r="B45" s="16" t="s">
        <v>349</v>
      </c>
      <c r="C45" s="12" t="str">
        <f t="shared" si="4"/>
        <v>Trống</v>
      </c>
      <c r="D45" s="16" t="s">
        <v>284</v>
      </c>
      <c r="E45" s="16" t="s">
        <v>191</v>
      </c>
      <c r="F45" s="17">
        <f>SUMPRODUCT((LUOT_GUI!$F$2:$F$1000=A45)*(LEN(LUOT_GUI!$E$2:$E$1000)=0))</f>
        <v>0</v>
      </c>
      <c r="G45" s="12" t="str">
        <f>IF(SUMPRODUCT(--(VI_TRI_DO!$A$2:$A$1000=A45))=1,"ĐẠT","LỆCH")</f>
        <v>ĐẠT</v>
      </c>
      <c r="H45" s="12" t="str">
        <f t="shared" si="5"/>
        <v>ĐẠT</v>
      </c>
      <c r="I45" s="12" t="str">
        <f>IF(SUMPRODUCT((LOAI_XE!$A$2:$A$1000=D45)*(LOAI_XE!$B$2:$B$1000=E45))&gt;0,"ĐẠT","LỆCH")</f>
        <v>ĐẠT</v>
      </c>
      <c r="J45" s="12" t="str">
        <f t="shared" si="6"/>
        <v>ĐẠT</v>
      </c>
      <c r="K45" s="12" t="str">
        <f t="shared" si="7"/>
        <v>ĐẠT</v>
      </c>
    </row>
    <row r="46" spans="1:11" x14ac:dyDescent="0.2">
      <c r="A46" s="16" t="s">
        <v>352</v>
      </c>
      <c r="B46" s="16" t="s">
        <v>349</v>
      </c>
      <c r="C46" s="12" t="str">
        <f t="shared" si="4"/>
        <v>Trống</v>
      </c>
      <c r="D46" s="16" t="s">
        <v>284</v>
      </c>
      <c r="E46" s="16" t="s">
        <v>191</v>
      </c>
      <c r="F46" s="17">
        <f>SUMPRODUCT((LUOT_GUI!$F$2:$F$1000=A46)*(LEN(LUOT_GUI!$E$2:$E$1000)=0))</f>
        <v>0</v>
      </c>
      <c r="G46" s="12" t="str">
        <f>IF(SUMPRODUCT(--(VI_TRI_DO!$A$2:$A$1000=A46))=1,"ĐẠT","LỆCH")</f>
        <v>ĐẠT</v>
      </c>
      <c r="H46" s="12" t="str">
        <f t="shared" si="5"/>
        <v>ĐẠT</v>
      </c>
      <c r="I46" s="12" t="str">
        <f>IF(SUMPRODUCT((LOAI_XE!$A$2:$A$1000=D46)*(LOAI_XE!$B$2:$B$1000=E46))&gt;0,"ĐẠT","LỆCH")</f>
        <v>ĐẠT</v>
      </c>
      <c r="J46" s="12" t="str">
        <f t="shared" si="6"/>
        <v>ĐẠT</v>
      </c>
      <c r="K46" s="12" t="str">
        <f t="shared" si="7"/>
        <v>ĐẠT</v>
      </c>
    </row>
    <row r="47" spans="1:11" x14ac:dyDescent="0.2">
      <c r="A47" s="16" t="s">
        <v>353</v>
      </c>
      <c r="B47" s="16" t="s">
        <v>349</v>
      </c>
      <c r="C47" s="12" t="str">
        <f t="shared" si="4"/>
        <v>Trống</v>
      </c>
      <c r="D47" s="16" t="s">
        <v>284</v>
      </c>
      <c r="E47" s="16" t="s">
        <v>191</v>
      </c>
      <c r="F47" s="17">
        <f>SUMPRODUCT((LUOT_GUI!$F$2:$F$1000=A47)*(LEN(LUOT_GUI!$E$2:$E$1000)=0))</f>
        <v>0</v>
      </c>
      <c r="G47" s="12" t="str">
        <f>IF(SUMPRODUCT(--(VI_TRI_DO!$A$2:$A$1000=A47))=1,"ĐẠT","LỆCH")</f>
        <v>ĐẠT</v>
      </c>
      <c r="H47" s="12" t="str">
        <f t="shared" si="5"/>
        <v>ĐẠT</v>
      </c>
      <c r="I47" s="12" t="str">
        <f>IF(SUMPRODUCT((LOAI_XE!$A$2:$A$1000=D47)*(LOAI_XE!$B$2:$B$1000=E47))&gt;0,"ĐẠT","LỆCH")</f>
        <v>ĐẠT</v>
      </c>
      <c r="J47" s="12" t="str">
        <f t="shared" si="6"/>
        <v>ĐẠT</v>
      </c>
      <c r="K47" s="12" t="str">
        <f t="shared" si="7"/>
        <v>ĐẠT</v>
      </c>
    </row>
    <row r="48" spans="1:11" x14ac:dyDescent="0.2">
      <c r="A48" s="16" t="s">
        <v>354</v>
      </c>
      <c r="B48" s="16" t="s">
        <v>355</v>
      </c>
      <c r="C48" s="12" t="str">
        <f t="shared" si="4"/>
        <v>Đã đỗ</v>
      </c>
      <c r="D48" s="16" t="s">
        <v>280</v>
      </c>
      <c r="E48" s="16" t="s">
        <v>194</v>
      </c>
      <c r="F48" s="17">
        <f>SUMPRODUCT((LUOT_GUI!$F$2:$F$1000=A48)*(LEN(LUOT_GUI!$E$2:$E$1000)=0))</f>
        <v>1</v>
      </c>
      <c r="G48" s="12" t="str">
        <f>IF(SUMPRODUCT(--(VI_TRI_DO!$A$2:$A$1000=A48))=1,"ĐẠT","LỆCH")</f>
        <v>ĐẠT</v>
      </c>
      <c r="H48" s="12" t="str">
        <f t="shared" si="5"/>
        <v>ĐẠT</v>
      </c>
      <c r="I48" s="12" t="str">
        <f>IF(SUMPRODUCT((LOAI_XE!$A$2:$A$1000=D48)*(LOAI_XE!$B$2:$B$1000=E48))&gt;0,"ĐẠT","LỆCH")</f>
        <v>ĐẠT</v>
      </c>
      <c r="J48" s="12" t="str">
        <f t="shared" si="6"/>
        <v>ĐẠT</v>
      </c>
      <c r="K48" s="12" t="str">
        <f t="shared" si="7"/>
        <v>ĐẠT</v>
      </c>
    </row>
    <row r="49" spans="1:11" x14ac:dyDescent="0.2">
      <c r="A49" s="16" t="s">
        <v>356</v>
      </c>
      <c r="B49" s="16" t="s">
        <v>355</v>
      </c>
      <c r="C49" s="12" t="str">
        <f t="shared" si="4"/>
        <v>Trống</v>
      </c>
      <c r="D49" s="16" t="s">
        <v>280</v>
      </c>
      <c r="E49" s="16" t="s">
        <v>194</v>
      </c>
      <c r="F49" s="17">
        <f>SUMPRODUCT((LUOT_GUI!$F$2:$F$1000=A49)*(LEN(LUOT_GUI!$E$2:$E$1000)=0))</f>
        <v>0</v>
      </c>
      <c r="G49" s="12" t="str">
        <f>IF(SUMPRODUCT(--(VI_TRI_DO!$A$2:$A$1000=A49))=1,"ĐẠT","LỆCH")</f>
        <v>ĐẠT</v>
      </c>
      <c r="H49" s="12" t="str">
        <f t="shared" si="5"/>
        <v>ĐẠT</v>
      </c>
      <c r="I49" s="12" t="str">
        <f>IF(SUMPRODUCT((LOAI_XE!$A$2:$A$1000=D49)*(LOAI_XE!$B$2:$B$1000=E49))&gt;0,"ĐẠT","LỆCH")</f>
        <v>ĐẠT</v>
      </c>
      <c r="J49" s="12" t="str">
        <f t="shared" si="6"/>
        <v>ĐẠT</v>
      </c>
      <c r="K49" s="12" t="str">
        <f t="shared" si="7"/>
        <v>ĐẠT</v>
      </c>
    </row>
    <row r="50" spans="1:11" x14ac:dyDescent="0.2">
      <c r="A50" s="16" t="s">
        <v>357</v>
      </c>
      <c r="B50" s="16" t="s">
        <v>355</v>
      </c>
      <c r="C50" s="12" t="str">
        <f t="shared" si="4"/>
        <v>Trống</v>
      </c>
      <c r="D50" s="16" t="s">
        <v>280</v>
      </c>
      <c r="E50" s="16" t="s">
        <v>194</v>
      </c>
      <c r="F50" s="17">
        <f>SUMPRODUCT((LUOT_GUI!$F$2:$F$1000=A50)*(LEN(LUOT_GUI!$E$2:$E$1000)=0))</f>
        <v>0</v>
      </c>
      <c r="G50" s="12" t="str">
        <f>IF(SUMPRODUCT(--(VI_TRI_DO!$A$2:$A$1000=A50))=1,"ĐẠT","LỆCH")</f>
        <v>ĐẠT</v>
      </c>
      <c r="H50" s="12" t="str">
        <f t="shared" si="5"/>
        <v>ĐẠT</v>
      </c>
      <c r="I50" s="12" t="str">
        <f>IF(SUMPRODUCT((LOAI_XE!$A$2:$A$1000=D50)*(LOAI_XE!$B$2:$B$1000=E50))&gt;0,"ĐẠT","LỆCH")</f>
        <v>ĐẠT</v>
      </c>
      <c r="J50" s="12" t="str">
        <f t="shared" si="6"/>
        <v>ĐẠT</v>
      </c>
      <c r="K50" s="12" t="str">
        <f t="shared" si="7"/>
        <v>ĐẠT</v>
      </c>
    </row>
    <row r="51" spans="1:11" x14ac:dyDescent="0.2">
      <c r="A51" s="16" t="s">
        <v>358</v>
      </c>
      <c r="B51" s="16" t="s">
        <v>359</v>
      </c>
      <c r="C51" s="12" t="str">
        <f t="shared" si="4"/>
        <v>Trống</v>
      </c>
      <c r="D51" s="16" t="s">
        <v>280</v>
      </c>
      <c r="E51" s="16" t="s">
        <v>194</v>
      </c>
      <c r="F51" s="17">
        <f>SUMPRODUCT((LUOT_GUI!$F$2:$F$1000=A51)*(LEN(LUOT_GUI!$E$2:$E$1000)=0))</f>
        <v>0</v>
      </c>
      <c r="G51" s="12" t="str">
        <f>IF(SUMPRODUCT(--(VI_TRI_DO!$A$2:$A$1000=A51))=1,"ĐẠT","LỆCH")</f>
        <v>ĐẠT</v>
      </c>
      <c r="H51" s="12" t="str">
        <f t="shared" si="5"/>
        <v>ĐẠT</v>
      </c>
      <c r="I51" s="12" t="str">
        <f>IF(SUMPRODUCT((LOAI_XE!$A$2:$A$1000=D51)*(LOAI_XE!$B$2:$B$1000=E51))&gt;0,"ĐẠT","LỆCH")</f>
        <v>ĐẠT</v>
      </c>
      <c r="J51" s="12" t="str">
        <f t="shared" si="6"/>
        <v>ĐẠT</v>
      </c>
      <c r="K51" s="12" t="str">
        <f t="shared" si="7"/>
        <v>ĐẠT</v>
      </c>
    </row>
    <row r="52" spans="1:11" x14ac:dyDescent="0.2">
      <c r="A52" s="16" t="s">
        <v>360</v>
      </c>
      <c r="B52" s="16" t="s">
        <v>359</v>
      </c>
      <c r="C52" s="12" t="str">
        <f t="shared" si="4"/>
        <v>Trống</v>
      </c>
      <c r="D52" s="16" t="s">
        <v>280</v>
      </c>
      <c r="E52" s="16" t="s">
        <v>194</v>
      </c>
      <c r="F52" s="17">
        <f>SUMPRODUCT((LUOT_GUI!$F$2:$F$1000=A52)*(LEN(LUOT_GUI!$E$2:$E$1000)=0))</f>
        <v>0</v>
      </c>
      <c r="G52" s="12" t="str">
        <f>IF(SUMPRODUCT(--(VI_TRI_DO!$A$2:$A$1000=A52))=1,"ĐẠT","LỆCH")</f>
        <v>ĐẠT</v>
      </c>
      <c r="H52" s="12" t="str">
        <f t="shared" si="5"/>
        <v>ĐẠT</v>
      </c>
      <c r="I52" s="12" t="str">
        <f>IF(SUMPRODUCT((LOAI_XE!$A$2:$A$1000=D52)*(LOAI_XE!$B$2:$B$1000=E52))&gt;0,"ĐẠT","LỆCH")</f>
        <v>ĐẠT</v>
      </c>
      <c r="J52" s="12" t="str">
        <f t="shared" si="6"/>
        <v>ĐẠT</v>
      </c>
      <c r="K52" s="12" t="str">
        <f t="shared" si="7"/>
        <v>ĐẠT</v>
      </c>
    </row>
    <row r="53" spans="1:11" x14ac:dyDescent="0.2">
      <c r="A53" s="16" t="s">
        <v>361</v>
      </c>
      <c r="B53" s="16" t="s">
        <v>359</v>
      </c>
      <c r="C53" s="12" t="str">
        <f t="shared" si="4"/>
        <v>Trống</v>
      </c>
      <c r="D53" s="16" t="s">
        <v>280</v>
      </c>
      <c r="E53" s="16" t="s">
        <v>194</v>
      </c>
      <c r="F53" s="17">
        <f>SUMPRODUCT((LUOT_GUI!$F$2:$F$1000=A53)*(LEN(LUOT_GUI!$E$2:$E$1000)=0))</f>
        <v>0</v>
      </c>
      <c r="G53" s="12" t="str">
        <f>IF(SUMPRODUCT(--(VI_TRI_DO!$A$2:$A$1000=A53))=1,"ĐẠT","LỆCH")</f>
        <v>ĐẠT</v>
      </c>
      <c r="H53" s="12" t="str">
        <f t="shared" si="5"/>
        <v>ĐẠT</v>
      </c>
      <c r="I53" s="12" t="str">
        <f>IF(SUMPRODUCT((LOAI_XE!$A$2:$A$1000=D53)*(LOAI_XE!$B$2:$B$1000=E53))&gt;0,"ĐẠT","LỆCH")</f>
        <v>ĐẠT</v>
      </c>
      <c r="J53" s="12" t="str">
        <f t="shared" si="6"/>
        <v>ĐẠT</v>
      </c>
      <c r="K53" s="12" t="str">
        <f t="shared" si="7"/>
        <v>ĐẠT</v>
      </c>
    </row>
    <row r="54" spans="1:11" x14ac:dyDescent="0.2">
      <c r="A54" s="16" t="s">
        <v>362</v>
      </c>
      <c r="B54" s="16" t="s">
        <v>363</v>
      </c>
      <c r="C54" s="12" t="str">
        <f t="shared" si="4"/>
        <v>Trống</v>
      </c>
      <c r="D54" s="16" t="s">
        <v>282</v>
      </c>
      <c r="E54" s="16" t="s">
        <v>194</v>
      </c>
      <c r="F54" s="17">
        <f>SUMPRODUCT((LUOT_GUI!$F$2:$F$1000=A54)*(LEN(LUOT_GUI!$E$2:$E$1000)=0))</f>
        <v>0</v>
      </c>
      <c r="G54" s="12" t="str">
        <f>IF(SUMPRODUCT(--(VI_TRI_DO!$A$2:$A$1000=A54))=1,"ĐẠT","LỆCH")</f>
        <v>ĐẠT</v>
      </c>
      <c r="H54" s="12" t="str">
        <f t="shared" si="5"/>
        <v>ĐẠT</v>
      </c>
      <c r="I54" s="12" t="str">
        <f>IF(SUMPRODUCT((LOAI_XE!$A$2:$A$1000=D54)*(LOAI_XE!$B$2:$B$1000=E54))&gt;0,"ĐẠT","LỆCH")</f>
        <v>ĐẠT</v>
      </c>
      <c r="J54" s="12" t="str">
        <f t="shared" si="6"/>
        <v>ĐẠT</v>
      </c>
      <c r="K54" s="12" t="str">
        <f t="shared" si="7"/>
        <v>ĐẠT</v>
      </c>
    </row>
    <row r="55" spans="1:11" x14ac:dyDescent="0.2">
      <c r="A55" s="16" t="s">
        <v>364</v>
      </c>
      <c r="B55" s="16" t="s">
        <v>363</v>
      </c>
      <c r="C55" s="12" t="str">
        <f t="shared" si="4"/>
        <v>Trống</v>
      </c>
      <c r="D55" s="16" t="s">
        <v>282</v>
      </c>
      <c r="E55" s="16" t="s">
        <v>194</v>
      </c>
      <c r="F55" s="17">
        <f>SUMPRODUCT((LUOT_GUI!$F$2:$F$1000=A55)*(LEN(LUOT_GUI!$E$2:$E$1000)=0))</f>
        <v>0</v>
      </c>
      <c r="G55" s="12" t="str">
        <f>IF(SUMPRODUCT(--(VI_TRI_DO!$A$2:$A$1000=A55))=1,"ĐẠT","LỆCH")</f>
        <v>ĐẠT</v>
      </c>
      <c r="H55" s="12" t="str">
        <f t="shared" si="5"/>
        <v>ĐẠT</v>
      </c>
      <c r="I55" s="12" t="str">
        <f>IF(SUMPRODUCT((LOAI_XE!$A$2:$A$1000=D55)*(LOAI_XE!$B$2:$B$1000=E55))&gt;0,"ĐẠT","LỆCH")</f>
        <v>ĐẠT</v>
      </c>
      <c r="J55" s="12" t="str">
        <f t="shared" si="6"/>
        <v>ĐẠT</v>
      </c>
      <c r="K55" s="12" t="str">
        <f t="shared" si="7"/>
        <v>ĐẠT</v>
      </c>
    </row>
    <row r="56" spans="1:11" x14ac:dyDescent="0.2">
      <c r="A56" s="16" t="s">
        <v>365</v>
      </c>
      <c r="B56" s="16" t="s">
        <v>366</v>
      </c>
      <c r="C56" s="12" t="str">
        <f t="shared" si="4"/>
        <v>Trống</v>
      </c>
      <c r="D56" s="16" t="s">
        <v>284</v>
      </c>
      <c r="E56" s="16" t="s">
        <v>194</v>
      </c>
      <c r="F56" s="17">
        <f>SUMPRODUCT((LUOT_GUI!$F$2:$F$1000=A56)*(LEN(LUOT_GUI!$E$2:$E$1000)=0))</f>
        <v>0</v>
      </c>
      <c r="G56" s="12" t="str">
        <f>IF(SUMPRODUCT(--(VI_TRI_DO!$A$2:$A$1000=A56))=1,"ĐẠT","LỆCH")</f>
        <v>ĐẠT</v>
      </c>
      <c r="H56" s="12" t="str">
        <f t="shared" si="5"/>
        <v>ĐẠT</v>
      </c>
      <c r="I56" s="12" t="str">
        <f>IF(SUMPRODUCT((LOAI_XE!$A$2:$A$1000=D56)*(LOAI_XE!$B$2:$B$1000=E56))&gt;0,"ĐẠT","LỆCH")</f>
        <v>ĐẠT</v>
      </c>
      <c r="J56" s="12" t="str">
        <f t="shared" si="6"/>
        <v>ĐẠT</v>
      </c>
      <c r="K56" s="12" t="str">
        <f t="shared" si="7"/>
        <v>ĐẠT</v>
      </c>
    </row>
    <row r="57" spans="1:11" x14ac:dyDescent="0.2">
      <c r="A57" s="16" t="s">
        <v>367</v>
      </c>
      <c r="B57" s="16" t="s">
        <v>366</v>
      </c>
      <c r="C57" s="12" t="str">
        <f t="shared" si="4"/>
        <v>Đã đỗ</v>
      </c>
      <c r="D57" s="16" t="s">
        <v>284</v>
      </c>
      <c r="E57" s="16" t="s">
        <v>194</v>
      </c>
      <c r="F57" s="17">
        <f>SUMPRODUCT((LUOT_GUI!$F$2:$F$1000=A57)*(LEN(LUOT_GUI!$E$2:$E$1000)=0))</f>
        <v>1</v>
      </c>
      <c r="G57" s="12" t="str">
        <f>IF(SUMPRODUCT(--(VI_TRI_DO!$A$2:$A$1000=A57))=1,"ĐẠT","LỆCH")</f>
        <v>ĐẠT</v>
      </c>
      <c r="H57" s="12" t="str">
        <f t="shared" si="5"/>
        <v>ĐẠT</v>
      </c>
      <c r="I57" s="12" t="str">
        <f>IF(SUMPRODUCT((LOAI_XE!$A$2:$A$1000=D57)*(LOAI_XE!$B$2:$B$1000=E57))&gt;0,"ĐẠT","LỆCH")</f>
        <v>ĐẠT</v>
      </c>
      <c r="J57" s="12" t="str">
        <f t="shared" si="6"/>
        <v>ĐẠT</v>
      </c>
      <c r="K57" s="12" t="str">
        <f t="shared" si="7"/>
        <v>ĐẠT</v>
      </c>
    </row>
    <row r="58" spans="1:11" x14ac:dyDescent="0.2">
      <c r="A58" s="16" t="s">
        <v>368</v>
      </c>
      <c r="B58" s="16" t="s">
        <v>366</v>
      </c>
      <c r="C58" s="12" t="str">
        <f t="shared" si="4"/>
        <v>Đã đỗ</v>
      </c>
      <c r="D58" s="16" t="s">
        <v>284</v>
      </c>
      <c r="E58" s="16" t="s">
        <v>194</v>
      </c>
      <c r="F58" s="17">
        <f>SUMPRODUCT((LUOT_GUI!$F$2:$F$1000=A58)*(LEN(LUOT_GUI!$E$2:$E$1000)=0))</f>
        <v>1</v>
      </c>
      <c r="G58" s="12" t="str">
        <f>IF(SUMPRODUCT(--(VI_TRI_DO!$A$2:$A$1000=A58))=1,"ĐẠT","LỆCH")</f>
        <v>ĐẠT</v>
      </c>
      <c r="H58" s="12" t="str">
        <f t="shared" si="5"/>
        <v>ĐẠT</v>
      </c>
      <c r="I58" s="12" t="str">
        <f>IF(SUMPRODUCT((LOAI_XE!$A$2:$A$1000=D58)*(LOAI_XE!$B$2:$B$1000=E58))&gt;0,"ĐẠT","LỆCH")</f>
        <v>ĐẠT</v>
      </c>
      <c r="J58" s="12" t="str">
        <f t="shared" si="6"/>
        <v>ĐẠT</v>
      </c>
      <c r="K58" s="12" t="str">
        <f t="shared" si="7"/>
        <v>ĐẠT</v>
      </c>
    </row>
    <row r="59" spans="1:11" x14ac:dyDescent="0.2">
      <c r="A59" s="16" t="s">
        <v>369</v>
      </c>
      <c r="B59" s="16" t="s">
        <v>366</v>
      </c>
      <c r="C59" s="12" t="str">
        <f t="shared" si="4"/>
        <v>Trống</v>
      </c>
      <c r="D59" s="16" t="s">
        <v>284</v>
      </c>
      <c r="E59" s="16" t="s">
        <v>194</v>
      </c>
      <c r="F59" s="17">
        <f>SUMPRODUCT((LUOT_GUI!$F$2:$F$1000=A59)*(LEN(LUOT_GUI!$E$2:$E$1000)=0))</f>
        <v>0</v>
      </c>
      <c r="G59" s="12" t="str">
        <f>IF(SUMPRODUCT(--(VI_TRI_DO!$A$2:$A$1000=A59))=1,"ĐẠT","LỆCH")</f>
        <v>ĐẠT</v>
      </c>
      <c r="H59" s="12" t="str">
        <f t="shared" si="5"/>
        <v>ĐẠT</v>
      </c>
      <c r="I59" s="12" t="str">
        <f>IF(SUMPRODUCT((LOAI_XE!$A$2:$A$1000=D59)*(LOAI_XE!$B$2:$B$1000=E59))&gt;0,"ĐẠT","LỆCH")</f>
        <v>ĐẠT</v>
      </c>
      <c r="J59" s="12" t="str">
        <f t="shared" si="6"/>
        <v>ĐẠT</v>
      </c>
      <c r="K59" s="12" t="str">
        <f t="shared" si="7"/>
        <v>ĐẠT</v>
      </c>
    </row>
    <row r="60" spans="1:11" x14ac:dyDescent="0.2">
      <c r="A60" s="16" t="s">
        <v>370</v>
      </c>
      <c r="B60" s="16" t="s">
        <v>371</v>
      </c>
      <c r="C60" s="12" t="str">
        <f t="shared" si="4"/>
        <v>Trống</v>
      </c>
      <c r="D60" s="16" t="s">
        <v>284</v>
      </c>
      <c r="E60" s="16" t="s">
        <v>194</v>
      </c>
      <c r="F60" s="17">
        <f>SUMPRODUCT((LUOT_GUI!$F$2:$F$1000=A60)*(LEN(LUOT_GUI!$E$2:$E$1000)=0))</f>
        <v>0</v>
      </c>
      <c r="G60" s="12" t="str">
        <f>IF(SUMPRODUCT(--(VI_TRI_DO!$A$2:$A$1000=A60))=1,"ĐẠT","LỆCH")</f>
        <v>ĐẠT</v>
      </c>
      <c r="H60" s="12" t="str">
        <f t="shared" si="5"/>
        <v>ĐẠT</v>
      </c>
      <c r="I60" s="12" t="str">
        <f>IF(SUMPRODUCT((LOAI_XE!$A$2:$A$1000=D60)*(LOAI_XE!$B$2:$B$1000=E60))&gt;0,"ĐẠT","LỆCH")</f>
        <v>ĐẠT</v>
      </c>
      <c r="J60" s="12" t="str">
        <f t="shared" si="6"/>
        <v>ĐẠT</v>
      </c>
      <c r="K60" s="12" t="str">
        <f t="shared" si="7"/>
        <v>ĐẠT</v>
      </c>
    </row>
    <row r="61" spans="1:11" x14ac:dyDescent="0.2">
      <c r="A61" s="16" t="s">
        <v>372</v>
      </c>
      <c r="B61" s="16" t="s">
        <v>371</v>
      </c>
      <c r="C61" s="12" t="str">
        <f t="shared" si="4"/>
        <v>Trống</v>
      </c>
      <c r="D61" s="16" t="s">
        <v>284</v>
      </c>
      <c r="E61" s="16" t="s">
        <v>194</v>
      </c>
      <c r="F61" s="17">
        <f>SUMPRODUCT((LUOT_GUI!$F$2:$F$1000=A61)*(LEN(LUOT_GUI!$E$2:$E$1000)=0))</f>
        <v>0</v>
      </c>
      <c r="G61" s="12" t="str">
        <f>IF(SUMPRODUCT(--(VI_TRI_DO!$A$2:$A$1000=A61))=1,"ĐẠT","LỆCH")</f>
        <v>ĐẠT</v>
      </c>
      <c r="H61" s="12" t="str">
        <f t="shared" si="5"/>
        <v>ĐẠT</v>
      </c>
      <c r="I61" s="12" t="str">
        <f>IF(SUMPRODUCT((LOAI_XE!$A$2:$A$1000=D61)*(LOAI_XE!$B$2:$B$1000=E61))&gt;0,"ĐẠT","LỆCH")</f>
        <v>ĐẠT</v>
      </c>
      <c r="J61" s="12" t="str">
        <f t="shared" si="6"/>
        <v>ĐẠT</v>
      </c>
      <c r="K61" s="12" t="str">
        <f t="shared" si="7"/>
        <v>ĐẠT</v>
      </c>
    </row>
  </sheetData>
  <autoFilter ref="A1:K61" xr:uid="{00000000-0009-0000-0000-000008000000}"/>
  <conditionalFormatting sqref="G2:K1000">
    <cfRule type="cellIs" dxfId="13" priority="2" operator="equal">
      <formula>"LỆCH"</formula>
    </cfRule>
    <cfRule type="cellIs" dxfId="12" priority="3" operator="equal">
      <formula>"ĐẠT"</formula>
    </cfRule>
  </conditionalFormatting>
  <dataValidations count="1">
    <dataValidation type="textLength" operator="lessThanOrEqual" showErrorMessage="1" errorTitle="Dữ liệu không hợp lệ" error="Tối đa 20 ký tự (VARCHAR/NVARCHAR(20))" sqref="A2:B1000" xr:uid="{00000000-0002-0000-0800-000000000000}">
      <formula1>20</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showErrorMessage="1" errorTitle="Dữ liệu không hợp lệ" error="Giá trị phải tồn tại ở BAI_DO_XE.MaBai" xr:uid="{00000000-0002-0000-0800-000002000000}">
          <x14:formula1>
            <xm:f>BAI_DO_XE!$A$2:$A$1000</xm:f>
          </x14:formula1>
          <x14:formula2>
            <xm:f>0</xm:f>
          </x14:formula2>
          <xm:sqref>E2:E1000</xm:sqref>
        </x14:dataValidation>
        <x14:dataValidation type="list" showErrorMessage="1" errorTitle="Dữ liệu không hợp lệ" error="Giá trị phải tồn tại ở LOAI_XE.MaLoaiXe" xr:uid="{00000000-0002-0000-0800-000003000000}">
          <x14:formula1>
            <xm:f>LOAI_XE!$A$2:$A$1000</xm:f>
          </x14:formula1>
          <x14:formula2>
            <xm:f>0</xm:f>
          </x14:formula2>
          <xm:sqref>D2:D1000</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26"/>
  <sheetViews>
    <sheetView zoomScaleNormal="100" workbookViewId="0">
      <pane xSplit="1" ySplit="1" topLeftCell="B2" activePane="bottomRight" state="frozen"/>
      <selection pane="topRight" activeCell="B1" sqref="B1"/>
      <selection pane="bottomLeft" activeCell="A2" sqref="A2"/>
      <selection pane="bottomRight" activeCell="I34" sqref="I34"/>
    </sheetView>
  </sheetViews>
  <sheetFormatPr baseColWidth="10" defaultColWidth="8.5" defaultRowHeight="15" x14ac:dyDescent="0.2"/>
  <cols>
    <col min="1" max="3" width="12" customWidth="1"/>
    <col min="4" max="4" width="13" customWidth="1"/>
    <col min="5" max="5" width="12" customWidth="1"/>
    <col min="6" max="6" width="17" customWidth="1"/>
    <col min="7" max="7" width="23" customWidth="1"/>
    <col min="8" max="8" width="14" customWidth="1"/>
    <col min="9" max="9" width="12" customWidth="1"/>
    <col min="10" max="10" width="16" customWidth="1"/>
    <col min="11" max="11" width="15" customWidth="1"/>
    <col min="12" max="12" width="17" customWidth="1"/>
    <col min="13" max="13" width="42.6640625" customWidth="1"/>
    <col min="14" max="14" width="12" customWidth="1"/>
    <col min="15" max="15" width="17" customWidth="1"/>
    <col min="16" max="16" width="15" customWidth="1"/>
    <col min="17" max="17" width="19" customWidth="1"/>
    <col min="18" max="18" width="16" customWidth="1"/>
    <col min="19" max="19" width="25" customWidth="1"/>
  </cols>
  <sheetData>
    <row r="1" spans="1:19" ht="33.75" customHeight="1" x14ac:dyDescent="0.2">
      <c r="A1" s="13" t="s">
        <v>373</v>
      </c>
      <c r="B1" s="13" t="s">
        <v>170</v>
      </c>
      <c r="C1" s="13" t="s">
        <v>374</v>
      </c>
      <c r="D1" s="13" t="s">
        <v>253</v>
      </c>
      <c r="E1" s="14" t="s">
        <v>375</v>
      </c>
      <c r="F1" s="20" t="s">
        <v>376</v>
      </c>
      <c r="G1" s="20" t="s">
        <v>377</v>
      </c>
      <c r="H1" s="15" t="s">
        <v>288</v>
      </c>
      <c r="I1" s="15" t="s">
        <v>378</v>
      </c>
      <c r="J1" s="15" t="s">
        <v>379</v>
      </c>
      <c r="K1" s="15" t="s">
        <v>380</v>
      </c>
      <c r="L1" s="15" t="s">
        <v>381</v>
      </c>
      <c r="M1" s="15" t="s">
        <v>382</v>
      </c>
      <c r="N1" s="15" t="s">
        <v>56</v>
      </c>
      <c r="O1" s="15" t="s">
        <v>60</v>
      </c>
      <c r="P1" s="15" t="s">
        <v>73</v>
      </c>
      <c r="Q1" s="15" t="s">
        <v>101</v>
      </c>
      <c r="R1" s="15" t="s">
        <v>103</v>
      </c>
      <c r="S1" s="15" t="s">
        <v>105</v>
      </c>
    </row>
    <row r="2" spans="1:19" x14ac:dyDescent="0.2">
      <c r="A2" s="16" t="s">
        <v>383</v>
      </c>
      <c r="B2" s="16" t="s">
        <v>185</v>
      </c>
      <c r="C2" s="16" t="s">
        <v>384</v>
      </c>
      <c r="D2" s="16" t="s">
        <v>258</v>
      </c>
      <c r="E2" s="21">
        <f t="shared" ref="E2:E26" si="0">IF(LEN(G2)&gt;0,INT(ThoiDiemNap)-G2,F2)</f>
        <v>46023</v>
      </c>
      <c r="F2" s="22">
        <v>46023</v>
      </c>
      <c r="G2" s="9"/>
      <c r="H2" s="17">
        <f>SUMPRODUCT((LUOT_GUI!$B$2:$B$1000=A2)*(LEN(LUOT_GUI!$E$2:$E$1000)=0))</f>
        <v>1</v>
      </c>
      <c r="I2" s="12" t="str">
        <f>IFERROR(INDEX(VE_THANG!$A$2:$A$1000,MATCH(A2,VE_THANG!$B$2:$B$1000,0)),"")</f>
        <v/>
      </c>
      <c r="J2" s="21" t="str">
        <f>IFERROR(INDEX(VE_THANG!$G$2:$G$1000,MATCH(A2,VE_THANG!$B$2:$B$1000,0)),"")</f>
        <v/>
      </c>
      <c r="K2" s="12" t="str">
        <f>IFERROR(INDEX(VE_THANG!$H$2:$H$1000,MATCH(A2,VE_THANG!$B$2:$B$1000,0)),"")</f>
        <v/>
      </c>
      <c r="L2" s="12" t="str">
        <f>IFERROR(INDEX(VE_THANG!$I$2:$I$1000,MATCH(A2,VE_THANG!$B$2:$B$1000,0)),"")</f>
        <v/>
      </c>
      <c r="M2" s="12" t="str">
        <f t="shared" ref="M2:M26" si="1">IF(OR(D2="Bị khóa",D2="Mất"),"CHẶN 50002 - Thẻ khóa/mất",IF(AND(C2="Tháng",I2&lt;&gt;"",OR(AND(ISNUMBER(J2),J2&lt;INT(ThoiDiemTinh)),K2="Hết hạn")),"CHẶN 50003 - Vé tháng hết hạn",IF(H2&gt;0,"Đang trong bãi - quét để RA",IF(L2="","Cho phép VÀO tại "&amp;B2,IF(L2="ALL","Cho phép VÀO mọi bãi (vé toàn chuỗi)","Cho phép VÀO chỉ tại "&amp;L2)))))</f>
        <v>Đang trong bãi - quét để RA</v>
      </c>
      <c r="N2" s="12" t="str">
        <f>IF(SUMPRODUCT(--(THE_XE!$A$2:$A$1000=A2))=1,"ĐẠT","LỆCH")</f>
        <v>ĐẠT</v>
      </c>
      <c r="O2" s="12" t="str">
        <f t="shared" ref="O2:O26" si="2">IF(AND(LEN(A2)=7,LEFT(A2,3)="THE",ISNUMBER(-MID(A2,4,4)),ISERROR(FIND(".",MID(A2,4,4)))),"ĐẠT","LỆCH")</f>
        <v>ĐẠT</v>
      </c>
      <c r="P2" s="12" t="str">
        <f>IF(SUMPRODUCT(--(BAI_DO_XE!$A$2:$A$1000=B2))&gt;0,"ĐẠT","LỆCH")</f>
        <v>ĐẠT</v>
      </c>
      <c r="Q2" s="12" t="str">
        <f t="shared" ref="Q2:Q26" si="3">IF(C2="Tháng",IF(I2&lt;&gt;"","ĐẠT","LỆCH"),"ĐẠT")</f>
        <v>ĐẠT</v>
      </c>
      <c r="R2" s="12" t="str">
        <f t="shared" ref="R2:R26" si="4">IF(H2&lt;=1,"ĐẠT","LỆCH")</f>
        <v>ĐẠT</v>
      </c>
      <c r="S2" s="12" t="str">
        <f t="shared" ref="S2:S26" si="5">IF(D2="Hoạt động","ĐẠT",IF(H2=0,"ĐẠT","LỆCH"))</f>
        <v>ĐẠT</v>
      </c>
    </row>
    <row r="3" spans="1:19" x14ac:dyDescent="0.2">
      <c r="A3" s="16" t="s">
        <v>385</v>
      </c>
      <c r="B3" s="16" t="s">
        <v>185</v>
      </c>
      <c r="C3" s="16" t="s">
        <v>386</v>
      </c>
      <c r="D3" s="16" t="s">
        <v>258</v>
      </c>
      <c r="E3" s="21">
        <f t="shared" si="0"/>
        <v>46023</v>
      </c>
      <c r="F3" s="22">
        <v>46023</v>
      </c>
      <c r="G3" s="9"/>
      <c r="H3" s="17">
        <f>SUMPRODUCT((LUOT_GUI!$B$2:$B$1000=A3)*(LEN(LUOT_GUI!$E$2:$E$1000)=0))</f>
        <v>1</v>
      </c>
      <c r="I3" s="12" t="str">
        <f>IFERROR(INDEX(VE_THANG!$A$2:$A$1000,MATCH(A3,VE_THANG!$B$2:$B$1000,0)),"")</f>
        <v>V0001</v>
      </c>
      <c r="J3" s="21">
        <f>IFERROR(INDEX(VE_THANG!$G$2:$G$1000,MATCH(A3,VE_THANG!$B$2:$B$1000,0)),"")</f>
        <v>46388</v>
      </c>
      <c r="K3" s="12" t="str">
        <f>IFERROR(INDEX(VE_THANG!$H$2:$H$1000,MATCH(A3,VE_THANG!$B$2:$B$1000,0)),"")</f>
        <v>Hoạt động</v>
      </c>
      <c r="L3" s="12" t="str">
        <f>IFERROR(INDEX(VE_THANG!$I$2:$I$1000,MATCH(A3,VE_THANG!$B$2:$B$1000,0)),"")</f>
        <v>BAI_Q1</v>
      </c>
      <c r="M3" s="12" t="str">
        <f t="shared" si="1"/>
        <v>Đang trong bãi - quét để RA</v>
      </c>
      <c r="N3" s="12" t="str">
        <f>IF(SUMPRODUCT(--(THE_XE!$A$2:$A$1000=A3))=1,"ĐẠT","LỆCH")</f>
        <v>ĐẠT</v>
      </c>
      <c r="O3" s="12" t="str">
        <f t="shared" si="2"/>
        <v>ĐẠT</v>
      </c>
      <c r="P3" s="12" t="str">
        <f>IF(SUMPRODUCT(--(BAI_DO_XE!$A$2:$A$1000=B3))&gt;0,"ĐẠT","LỆCH")</f>
        <v>ĐẠT</v>
      </c>
      <c r="Q3" s="12" t="str">
        <f t="shared" si="3"/>
        <v>ĐẠT</v>
      </c>
      <c r="R3" s="12" t="str">
        <f t="shared" si="4"/>
        <v>ĐẠT</v>
      </c>
      <c r="S3" s="12" t="str">
        <f t="shared" si="5"/>
        <v>ĐẠT</v>
      </c>
    </row>
    <row r="4" spans="1:19" x14ac:dyDescent="0.2">
      <c r="A4" s="16" t="s">
        <v>387</v>
      </c>
      <c r="B4" s="16" t="s">
        <v>185</v>
      </c>
      <c r="C4" s="16" t="s">
        <v>384</v>
      </c>
      <c r="D4" s="16" t="s">
        <v>258</v>
      </c>
      <c r="E4" s="21">
        <f t="shared" si="0"/>
        <v>46027</v>
      </c>
      <c r="F4" s="22">
        <v>46027</v>
      </c>
      <c r="G4" s="9"/>
      <c r="H4" s="17">
        <f>SUMPRODUCT((LUOT_GUI!$B$2:$B$1000=A4)*(LEN(LUOT_GUI!$E$2:$E$1000)=0))</f>
        <v>0</v>
      </c>
      <c r="I4" s="12" t="str">
        <f>IFERROR(INDEX(VE_THANG!$A$2:$A$1000,MATCH(A4,VE_THANG!$B$2:$B$1000,0)),"")</f>
        <v/>
      </c>
      <c r="J4" s="21" t="str">
        <f>IFERROR(INDEX(VE_THANG!$G$2:$G$1000,MATCH(A4,VE_THANG!$B$2:$B$1000,0)),"")</f>
        <v/>
      </c>
      <c r="K4" s="12" t="str">
        <f>IFERROR(INDEX(VE_THANG!$H$2:$H$1000,MATCH(A4,VE_THANG!$B$2:$B$1000,0)),"")</f>
        <v/>
      </c>
      <c r="L4" s="12" t="str">
        <f>IFERROR(INDEX(VE_THANG!$I$2:$I$1000,MATCH(A4,VE_THANG!$B$2:$B$1000,0)),"")</f>
        <v/>
      </c>
      <c r="M4" s="12" t="str">
        <f t="shared" si="1"/>
        <v>Cho phép VÀO tại BAI_Q1</v>
      </c>
      <c r="N4" s="12" t="str">
        <f>IF(SUMPRODUCT(--(THE_XE!$A$2:$A$1000=A4))=1,"ĐẠT","LỆCH")</f>
        <v>ĐẠT</v>
      </c>
      <c r="O4" s="12" t="str">
        <f t="shared" si="2"/>
        <v>ĐẠT</v>
      </c>
      <c r="P4" s="12" t="str">
        <f>IF(SUMPRODUCT(--(BAI_DO_XE!$A$2:$A$1000=B4))&gt;0,"ĐẠT","LỆCH")</f>
        <v>ĐẠT</v>
      </c>
      <c r="Q4" s="12" t="str">
        <f t="shared" si="3"/>
        <v>ĐẠT</v>
      </c>
      <c r="R4" s="12" t="str">
        <f t="shared" si="4"/>
        <v>ĐẠT</v>
      </c>
      <c r="S4" s="12" t="str">
        <f t="shared" si="5"/>
        <v>ĐẠT</v>
      </c>
    </row>
    <row r="5" spans="1:19" x14ac:dyDescent="0.2">
      <c r="A5" s="16" t="s">
        <v>388</v>
      </c>
      <c r="B5" s="16" t="s">
        <v>185</v>
      </c>
      <c r="C5" s="16" t="s">
        <v>386</v>
      </c>
      <c r="D5" s="16" t="s">
        <v>258</v>
      </c>
      <c r="E5" s="21">
        <f t="shared" si="0"/>
        <v>46032</v>
      </c>
      <c r="F5" s="22">
        <v>46032</v>
      </c>
      <c r="G5" s="9"/>
      <c r="H5" s="17">
        <f>SUMPRODUCT((LUOT_GUI!$B$2:$B$1000=A5)*(LEN(LUOT_GUI!$E$2:$E$1000)=0))</f>
        <v>0</v>
      </c>
      <c r="I5" s="12" t="str">
        <f>IFERROR(INDEX(VE_THANG!$A$2:$A$1000,MATCH(A5,VE_THANG!$B$2:$B$1000,0)),"")</f>
        <v>V0002</v>
      </c>
      <c r="J5" s="21">
        <f>IFERROR(INDEX(VE_THANG!$G$2:$G$1000,MATCH(A5,VE_THANG!$B$2:$B$1000,0)),"")</f>
        <v>46305</v>
      </c>
      <c r="K5" s="12" t="str">
        <f>IFERROR(INDEX(VE_THANG!$H$2:$H$1000,MATCH(A5,VE_THANG!$B$2:$B$1000,0)),"")</f>
        <v>Hoạt động</v>
      </c>
      <c r="L5" s="12" t="str">
        <f>IFERROR(INDEX(VE_THANG!$I$2:$I$1000,MATCH(A5,VE_THANG!$B$2:$B$1000,0)),"")</f>
        <v>BAI_Q1</v>
      </c>
      <c r="M5" s="12" t="str">
        <f t="shared" si="1"/>
        <v>Cho phép VÀO chỉ tại BAI_Q1</v>
      </c>
      <c r="N5" s="12" t="str">
        <f>IF(SUMPRODUCT(--(THE_XE!$A$2:$A$1000=A5))=1,"ĐẠT","LỆCH")</f>
        <v>ĐẠT</v>
      </c>
      <c r="O5" s="12" t="str">
        <f t="shared" si="2"/>
        <v>ĐẠT</v>
      </c>
      <c r="P5" s="12" t="str">
        <f>IF(SUMPRODUCT(--(BAI_DO_XE!$A$2:$A$1000=B5))&gt;0,"ĐẠT","LỆCH")</f>
        <v>ĐẠT</v>
      </c>
      <c r="Q5" s="12" t="str">
        <f t="shared" si="3"/>
        <v>ĐẠT</v>
      </c>
      <c r="R5" s="12" t="str">
        <f t="shared" si="4"/>
        <v>ĐẠT</v>
      </c>
      <c r="S5" s="12" t="str">
        <f t="shared" si="5"/>
        <v>ĐẠT</v>
      </c>
    </row>
    <row r="6" spans="1:19" x14ac:dyDescent="0.2">
      <c r="A6" s="16" t="s">
        <v>389</v>
      </c>
      <c r="B6" s="16" t="s">
        <v>185</v>
      </c>
      <c r="C6" s="16" t="s">
        <v>384</v>
      </c>
      <c r="D6" s="16" t="s">
        <v>266</v>
      </c>
      <c r="E6" s="21">
        <f t="shared" si="0"/>
        <v>46034</v>
      </c>
      <c r="F6" s="22">
        <v>46034</v>
      </c>
      <c r="G6" s="9"/>
      <c r="H6" s="17">
        <f>SUMPRODUCT((LUOT_GUI!$B$2:$B$1000=A6)*(LEN(LUOT_GUI!$E$2:$E$1000)=0))</f>
        <v>0</v>
      </c>
      <c r="I6" s="12" t="str">
        <f>IFERROR(INDEX(VE_THANG!$A$2:$A$1000,MATCH(A6,VE_THANG!$B$2:$B$1000,0)),"")</f>
        <v/>
      </c>
      <c r="J6" s="21" t="str">
        <f>IFERROR(INDEX(VE_THANG!$G$2:$G$1000,MATCH(A6,VE_THANG!$B$2:$B$1000,0)),"")</f>
        <v/>
      </c>
      <c r="K6" s="12" t="str">
        <f>IFERROR(INDEX(VE_THANG!$H$2:$H$1000,MATCH(A6,VE_THANG!$B$2:$B$1000,0)),"")</f>
        <v/>
      </c>
      <c r="L6" s="12" t="str">
        <f>IFERROR(INDEX(VE_THANG!$I$2:$I$1000,MATCH(A6,VE_THANG!$B$2:$B$1000,0)),"")</f>
        <v/>
      </c>
      <c r="M6" s="12" t="str">
        <f t="shared" si="1"/>
        <v>CHẶN 50002 - Thẻ khóa/mất</v>
      </c>
      <c r="N6" s="12" t="str">
        <f>IF(SUMPRODUCT(--(THE_XE!$A$2:$A$1000=A6))=1,"ĐẠT","LỆCH")</f>
        <v>ĐẠT</v>
      </c>
      <c r="O6" s="12" t="str">
        <f t="shared" si="2"/>
        <v>ĐẠT</v>
      </c>
      <c r="P6" s="12" t="str">
        <f>IF(SUMPRODUCT(--(BAI_DO_XE!$A$2:$A$1000=B6))&gt;0,"ĐẠT","LỆCH")</f>
        <v>ĐẠT</v>
      </c>
      <c r="Q6" s="12" t="str">
        <f t="shared" si="3"/>
        <v>ĐẠT</v>
      </c>
      <c r="R6" s="12" t="str">
        <f t="shared" si="4"/>
        <v>ĐẠT</v>
      </c>
      <c r="S6" s="12" t="str">
        <f t="shared" si="5"/>
        <v>ĐẠT</v>
      </c>
    </row>
    <row r="7" spans="1:19" x14ac:dyDescent="0.2">
      <c r="A7" s="16" t="s">
        <v>390</v>
      </c>
      <c r="B7" s="16" t="s">
        <v>185</v>
      </c>
      <c r="C7" s="16" t="s">
        <v>384</v>
      </c>
      <c r="D7" s="16" t="s">
        <v>391</v>
      </c>
      <c r="E7" s="21">
        <f t="shared" si="0"/>
        <v>46037</v>
      </c>
      <c r="F7" s="22">
        <v>46037</v>
      </c>
      <c r="G7" s="9"/>
      <c r="H7" s="17">
        <f>SUMPRODUCT((LUOT_GUI!$B$2:$B$1000=A7)*(LEN(LUOT_GUI!$E$2:$E$1000)=0))</f>
        <v>0</v>
      </c>
      <c r="I7" s="12" t="str">
        <f>IFERROR(INDEX(VE_THANG!$A$2:$A$1000,MATCH(A7,VE_THANG!$B$2:$B$1000,0)),"")</f>
        <v/>
      </c>
      <c r="J7" s="21" t="str">
        <f>IFERROR(INDEX(VE_THANG!$G$2:$G$1000,MATCH(A7,VE_THANG!$B$2:$B$1000,0)),"")</f>
        <v/>
      </c>
      <c r="K7" s="12" t="str">
        <f>IFERROR(INDEX(VE_THANG!$H$2:$H$1000,MATCH(A7,VE_THANG!$B$2:$B$1000,0)),"")</f>
        <v/>
      </c>
      <c r="L7" s="12" t="str">
        <f>IFERROR(INDEX(VE_THANG!$I$2:$I$1000,MATCH(A7,VE_THANG!$B$2:$B$1000,0)),"")</f>
        <v/>
      </c>
      <c r="M7" s="12" t="str">
        <f t="shared" si="1"/>
        <v>CHẶN 50002 - Thẻ khóa/mất</v>
      </c>
      <c r="N7" s="12" t="str">
        <f>IF(SUMPRODUCT(--(THE_XE!$A$2:$A$1000=A7))=1,"ĐẠT","LỆCH")</f>
        <v>ĐẠT</v>
      </c>
      <c r="O7" s="12" t="str">
        <f t="shared" si="2"/>
        <v>ĐẠT</v>
      </c>
      <c r="P7" s="12" t="str">
        <f>IF(SUMPRODUCT(--(BAI_DO_XE!$A$2:$A$1000=B7))&gt;0,"ĐẠT","LỆCH")</f>
        <v>ĐẠT</v>
      </c>
      <c r="Q7" s="12" t="str">
        <f t="shared" si="3"/>
        <v>ĐẠT</v>
      </c>
      <c r="R7" s="12" t="str">
        <f t="shared" si="4"/>
        <v>ĐẠT</v>
      </c>
      <c r="S7" s="12" t="str">
        <f t="shared" si="5"/>
        <v>ĐẠT</v>
      </c>
    </row>
    <row r="8" spans="1:19" x14ac:dyDescent="0.2">
      <c r="A8" s="16" t="s">
        <v>392</v>
      </c>
      <c r="B8" s="16" t="s">
        <v>188</v>
      </c>
      <c r="C8" s="16" t="s">
        <v>384</v>
      </c>
      <c r="D8" s="16" t="s">
        <v>258</v>
      </c>
      <c r="E8" s="21">
        <f t="shared" si="0"/>
        <v>46023</v>
      </c>
      <c r="F8" s="22">
        <v>46023</v>
      </c>
      <c r="G8" s="9"/>
      <c r="H8" s="17">
        <f>SUMPRODUCT((LUOT_GUI!$B$2:$B$1000=A8)*(LEN(LUOT_GUI!$E$2:$E$1000)=0))</f>
        <v>1</v>
      </c>
      <c r="I8" s="12" t="str">
        <f>IFERROR(INDEX(VE_THANG!$A$2:$A$1000,MATCH(A8,VE_THANG!$B$2:$B$1000,0)),"")</f>
        <v/>
      </c>
      <c r="J8" s="21" t="str">
        <f>IFERROR(INDEX(VE_THANG!$G$2:$G$1000,MATCH(A8,VE_THANG!$B$2:$B$1000,0)),"")</f>
        <v/>
      </c>
      <c r="K8" s="12" t="str">
        <f>IFERROR(INDEX(VE_THANG!$H$2:$H$1000,MATCH(A8,VE_THANG!$B$2:$B$1000,0)),"")</f>
        <v/>
      </c>
      <c r="L8" s="12" t="str">
        <f>IFERROR(INDEX(VE_THANG!$I$2:$I$1000,MATCH(A8,VE_THANG!$B$2:$B$1000,0)),"")</f>
        <v/>
      </c>
      <c r="M8" s="12" t="str">
        <f t="shared" si="1"/>
        <v>Đang trong bãi - quét để RA</v>
      </c>
      <c r="N8" s="12" t="str">
        <f>IF(SUMPRODUCT(--(THE_XE!$A$2:$A$1000=A8))=1,"ĐẠT","LỆCH")</f>
        <v>ĐẠT</v>
      </c>
      <c r="O8" s="12" t="str">
        <f t="shared" si="2"/>
        <v>ĐẠT</v>
      </c>
      <c r="P8" s="12" t="str">
        <f>IF(SUMPRODUCT(--(BAI_DO_XE!$A$2:$A$1000=B8))&gt;0,"ĐẠT","LỆCH")</f>
        <v>ĐẠT</v>
      </c>
      <c r="Q8" s="12" t="str">
        <f t="shared" si="3"/>
        <v>ĐẠT</v>
      </c>
      <c r="R8" s="12" t="str">
        <f t="shared" si="4"/>
        <v>ĐẠT</v>
      </c>
      <c r="S8" s="12" t="str">
        <f t="shared" si="5"/>
        <v>ĐẠT</v>
      </c>
    </row>
    <row r="9" spans="1:19" x14ac:dyDescent="0.2">
      <c r="A9" s="16" t="s">
        <v>393</v>
      </c>
      <c r="B9" s="16" t="s">
        <v>188</v>
      </c>
      <c r="C9" s="16" t="s">
        <v>386</v>
      </c>
      <c r="D9" s="16" t="s">
        <v>258</v>
      </c>
      <c r="E9" s="21">
        <f t="shared" si="0"/>
        <v>46025</v>
      </c>
      <c r="F9" s="22">
        <v>46025</v>
      </c>
      <c r="G9" s="9"/>
      <c r="H9" s="17">
        <f>SUMPRODUCT((LUOT_GUI!$B$2:$B$1000=A9)*(LEN(LUOT_GUI!$E$2:$E$1000)=0))</f>
        <v>0</v>
      </c>
      <c r="I9" s="12" t="str">
        <f>IFERROR(INDEX(VE_THANG!$A$2:$A$1000,MATCH(A9,VE_THANG!$B$2:$B$1000,0)),"")</f>
        <v>V0003</v>
      </c>
      <c r="J9" s="21">
        <f>IFERROR(INDEX(VE_THANG!$G$2:$G$1000,MATCH(A9,VE_THANG!$B$2:$B$1000,0)),"")</f>
        <v>46056</v>
      </c>
      <c r="K9" s="12" t="str">
        <f>IFERROR(INDEX(VE_THANG!$H$2:$H$1000,MATCH(A9,VE_THANG!$B$2:$B$1000,0)),"")</f>
        <v>Hết hạn</v>
      </c>
      <c r="L9" s="12" t="str">
        <f>IFERROR(INDEX(VE_THANG!$I$2:$I$1000,MATCH(A9,VE_THANG!$B$2:$B$1000,0)),"")</f>
        <v>BAI_Q3</v>
      </c>
      <c r="M9" s="12" t="str">
        <f t="shared" si="1"/>
        <v>CHẶN 50003 - Vé tháng hết hạn</v>
      </c>
      <c r="N9" s="12" t="str">
        <f>IF(SUMPRODUCT(--(THE_XE!$A$2:$A$1000=A9))=1,"ĐẠT","LỆCH")</f>
        <v>ĐẠT</v>
      </c>
      <c r="O9" s="12" t="str">
        <f t="shared" si="2"/>
        <v>ĐẠT</v>
      </c>
      <c r="P9" s="12" t="str">
        <f>IF(SUMPRODUCT(--(BAI_DO_XE!$A$2:$A$1000=B9))&gt;0,"ĐẠT","LỆCH")</f>
        <v>ĐẠT</v>
      </c>
      <c r="Q9" s="12" t="str">
        <f t="shared" si="3"/>
        <v>ĐẠT</v>
      </c>
      <c r="R9" s="12" t="str">
        <f t="shared" si="4"/>
        <v>ĐẠT</v>
      </c>
      <c r="S9" s="12" t="str">
        <f t="shared" si="5"/>
        <v>ĐẠT</v>
      </c>
    </row>
    <row r="10" spans="1:19" x14ac:dyDescent="0.2">
      <c r="A10" s="16" t="s">
        <v>394</v>
      </c>
      <c r="B10" s="16" t="s">
        <v>188</v>
      </c>
      <c r="C10" s="16" t="s">
        <v>384</v>
      </c>
      <c r="D10" s="16" t="s">
        <v>258</v>
      </c>
      <c r="E10" s="21">
        <f t="shared" si="0"/>
        <v>46027</v>
      </c>
      <c r="F10" s="22">
        <v>46027</v>
      </c>
      <c r="G10" s="9"/>
      <c r="H10" s="17">
        <f>SUMPRODUCT((LUOT_GUI!$B$2:$B$1000=A10)*(LEN(LUOT_GUI!$E$2:$E$1000)=0))</f>
        <v>0</v>
      </c>
      <c r="I10" s="12" t="str">
        <f>IFERROR(INDEX(VE_THANG!$A$2:$A$1000,MATCH(A10,VE_THANG!$B$2:$B$1000,0)),"")</f>
        <v/>
      </c>
      <c r="J10" s="21" t="str">
        <f>IFERROR(INDEX(VE_THANG!$G$2:$G$1000,MATCH(A10,VE_THANG!$B$2:$B$1000,0)),"")</f>
        <v/>
      </c>
      <c r="K10" s="12" t="str">
        <f>IFERROR(INDEX(VE_THANG!$H$2:$H$1000,MATCH(A10,VE_THANG!$B$2:$B$1000,0)),"")</f>
        <v/>
      </c>
      <c r="L10" s="12" t="str">
        <f>IFERROR(INDEX(VE_THANG!$I$2:$I$1000,MATCH(A10,VE_THANG!$B$2:$B$1000,0)),"")</f>
        <v/>
      </c>
      <c r="M10" s="12" t="str">
        <f t="shared" si="1"/>
        <v>Cho phép VÀO tại BAI_Q3</v>
      </c>
      <c r="N10" s="12" t="str">
        <f>IF(SUMPRODUCT(--(THE_XE!$A$2:$A$1000=A10))=1,"ĐẠT","LỆCH")</f>
        <v>ĐẠT</v>
      </c>
      <c r="O10" s="12" t="str">
        <f t="shared" si="2"/>
        <v>ĐẠT</v>
      </c>
      <c r="P10" s="12" t="str">
        <f>IF(SUMPRODUCT(--(BAI_DO_XE!$A$2:$A$1000=B10))&gt;0,"ĐẠT","LỆCH")</f>
        <v>ĐẠT</v>
      </c>
      <c r="Q10" s="12" t="str">
        <f t="shared" si="3"/>
        <v>ĐẠT</v>
      </c>
      <c r="R10" s="12" t="str">
        <f t="shared" si="4"/>
        <v>ĐẠT</v>
      </c>
      <c r="S10" s="12" t="str">
        <f t="shared" si="5"/>
        <v>ĐẠT</v>
      </c>
    </row>
    <row r="11" spans="1:19" x14ac:dyDescent="0.2">
      <c r="A11" s="16" t="s">
        <v>395</v>
      </c>
      <c r="B11" s="16" t="s">
        <v>188</v>
      </c>
      <c r="C11" s="16" t="s">
        <v>386</v>
      </c>
      <c r="D11" s="16" t="s">
        <v>258</v>
      </c>
      <c r="E11" s="21">
        <f t="shared" si="0"/>
        <v>46030</v>
      </c>
      <c r="F11" s="22">
        <v>46030</v>
      </c>
      <c r="G11" s="9"/>
      <c r="H11" s="17">
        <f>SUMPRODUCT((LUOT_GUI!$B$2:$B$1000=A11)*(LEN(LUOT_GUI!$E$2:$E$1000)=0))</f>
        <v>0</v>
      </c>
      <c r="I11" s="12" t="str">
        <f>IFERROR(INDEX(VE_THANG!$A$2:$A$1000,MATCH(A11,VE_THANG!$B$2:$B$1000,0)),"")</f>
        <v>V0004</v>
      </c>
      <c r="J11" s="21">
        <f>IFERROR(INDEX(VE_THANG!$G$2:$G$1000,MATCH(A11,VE_THANG!$B$2:$B$1000,0)),"")</f>
        <v>46334</v>
      </c>
      <c r="K11" s="12" t="str">
        <f>IFERROR(INDEX(VE_THANG!$H$2:$H$1000,MATCH(A11,VE_THANG!$B$2:$B$1000,0)),"")</f>
        <v>Hoạt động</v>
      </c>
      <c r="L11" s="12" t="str">
        <f>IFERROR(INDEX(VE_THANG!$I$2:$I$1000,MATCH(A11,VE_THANG!$B$2:$B$1000,0)),"")</f>
        <v>ALL</v>
      </c>
      <c r="M11" s="12" t="str">
        <f t="shared" si="1"/>
        <v>Cho phép VÀO mọi bãi (vé toàn chuỗi)</v>
      </c>
      <c r="N11" s="12" t="str">
        <f>IF(SUMPRODUCT(--(THE_XE!$A$2:$A$1000=A11))=1,"ĐẠT","LỆCH")</f>
        <v>ĐẠT</v>
      </c>
      <c r="O11" s="12" t="str">
        <f t="shared" si="2"/>
        <v>ĐẠT</v>
      </c>
      <c r="P11" s="12" t="str">
        <f>IF(SUMPRODUCT(--(BAI_DO_XE!$A$2:$A$1000=B11))&gt;0,"ĐẠT","LỆCH")</f>
        <v>ĐẠT</v>
      </c>
      <c r="Q11" s="12" t="str">
        <f t="shared" si="3"/>
        <v>ĐẠT</v>
      </c>
      <c r="R11" s="12" t="str">
        <f t="shared" si="4"/>
        <v>ĐẠT</v>
      </c>
      <c r="S11" s="12" t="str">
        <f t="shared" si="5"/>
        <v>ĐẠT</v>
      </c>
    </row>
    <row r="12" spans="1:19" x14ac:dyDescent="0.2">
      <c r="A12" s="16" t="s">
        <v>396</v>
      </c>
      <c r="B12" s="16" t="s">
        <v>182</v>
      </c>
      <c r="C12" s="16" t="s">
        <v>384</v>
      </c>
      <c r="D12" s="16" t="s">
        <v>258</v>
      </c>
      <c r="E12" s="21">
        <f t="shared" si="0"/>
        <v>46023</v>
      </c>
      <c r="F12" s="22">
        <v>46023</v>
      </c>
      <c r="G12" s="9"/>
      <c r="H12" s="17">
        <f>SUMPRODUCT((LUOT_GUI!$B$2:$B$1000=A12)*(LEN(LUOT_GUI!$E$2:$E$1000)=0))</f>
        <v>0</v>
      </c>
      <c r="I12" s="12" t="str">
        <f>IFERROR(INDEX(VE_THANG!$A$2:$A$1000,MATCH(A12,VE_THANG!$B$2:$B$1000,0)),"")</f>
        <v/>
      </c>
      <c r="J12" s="21" t="str">
        <f>IFERROR(INDEX(VE_THANG!$G$2:$G$1000,MATCH(A12,VE_THANG!$B$2:$B$1000,0)),"")</f>
        <v/>
      </c>
      <c r="K12" s="12" t="str">
        <f>IFERROR(INDEX(VE_THANG!$H$2:$H$1000,MATCH(A12,VE_THANG!$B$2:$B$1000,0)),"")</f>
        <v/>
      </c>
      <c r="L12" s="12" t="str">
        <f>IFERROR(INDEX(VE_THANG!$I$2:$I$1000,MATCH(A12,VE_THANG!$B$2:$B$1000,0)),"")</f>
        <v/>
      </c>
      <c r="M12" s="12" t="str">
        <f t="shared" si="1"/>
        <v>Cho phép VÀO tại BAI_BT</v>
      </c>
      <c r="N12" s="12" t="str">
        <f>IF(SUMPRODUCT(--(THE_XE!$A$2:$A$1000=A12))=1,"ĐẠT","LỆCH")</f>
        <v>ĐẠT</v>
      </c>
      <c r="O12" s="12" t="str">
        <f t="shared" si="2"/>
        <v>ĐẠT</v>
      </c>
      <c r="P12" s="12" t="str">
        <f>IF(SUMPRODUCT(--(BAI_DO_XE!$A$2:$A$1000=B12))&gt;0,"ĐẠT","LỆCH")</f>
        <v>ĐẠT</v>
      </c>
      <c r="Q12" s="12" t="str">
        <f t="shared" si="3"/>
        <v>ĐẠT</v>
      </c>
      <c r="R12" s="12" t="str">
        <f t="shared" si="4"/>
        <v>ĐẠT</v>
      </c>
      <c r="S12" s="12" t="str">
        <f t="shared" si="5"/>
        <v>ĐẠT</v>
      </c>
    </row>
    <row r="13" spans="1:19" x14ac:dyDescent="0.2">
      <c r="A13" s="16" t="s">
        <v>397</v>
      </c>
      <c r="B13" s="16" t="s">
        <v>182</v>
      </c>
      <c r="C13" s="16" t="s">
        <v>386</v>
      </c>
      <c r="D13" s="16" t="s">
        <v>258</v>
      </c>
      <c r="E13" s="21">
        <f t="shared" si="0"/>
        <v>46024</v>
      </c>
      <c r="F13" s="22">
        <v>46024</v>
      </c>
      <c r="G13" s="9"/>
      <c r="H13" s="17">
        <f>SUMPRODUCT((LUOT_GUI!$B$2:$B$1000=A13)*(LEN(LUOT_GUI!$E$2:$E$1000)=0))</f>
        <v>0</v>
      </c>
      <c r="I13" s="12" t="str">
        <f>IFERROR(INDEX(VE_THANG!$A$2:$A$1000,MATCH(A13,VE_THANG!$B$2:$B$1000,0)),"")</f>
        <v>V0005</v>
      </c>
      <c r="J13" s="21">
        <f>IFERROR(INDEX(VE_THANG!$G$2:$G$1000,MATCH(A13,VE_THANG!$B$2:$B$1000,0)),"")</f>
        <v>46389</v>
      </c>
      <c r="K13" s="12" t="str">
        <f>IFERROR(INDEX(VE_THANG!$H$2:$H$1000,MATCH(A13,VE_THANG!$B$2:$B$1000,0)),"")</f>
        <v>Hoạt động</v>
      </c>
      <c r="L13" s="12" t="str">
        <f>IFERROR(INDEX(VE_THANG!$I$2:$I$1000,MATCH(A13,VE_THANG!$B$2:$B$1000,0)),"")</f>
        <v>BAI_BT</v>
      </c>
      <c r="M13" s="12" t="str">
        <f t="shared" si="1"/>
        <v>Cho phép VÀO chỉ tại BAI_BT</v>
      </c>
      <c r="N13" s="12" t="str">
        <f>IF(SUMPRODUCT(--(THE_XE!$A$2:$A$1000=A13))=1,"ĐẠT","LỆCH")</f>
        <v>ĐẠT</v>
      </c>
      <c r="O13" s="12" t="str">
        <f t="shared" si="2"/>
        <v>ĐẠT</v>
      </c>
      <c r="P13" s="12" t="str">
        <f>IF(SUMPRODUCT(--(BAI_DO_XE!$A$2:$A$1000=B13))&gt;0,"ĐẠT","LỆCH")</f>
        <v>ĐẠT</v>
      </c>
      <c r="Q13" s="12" t="str">
        <f t="shared" si="3"/>
        <v>ĐẠT</v>
      </c>
      <c r="R13" s="12" t="str">
        <f t="shared" si="4"/>
        <v>ĐẠT</v>
      </c>
      <c r="S13" s="12" t="str">
        <f t="shared" si="5"/>
        <v>ĐẠT</v>
      </c>
    </row>
    <row r="14" spans="1:19" x14ac:dyDescent="0.2">
      <c r="A14" s="16" t="s">
        <v>398</v>
      </c>
      <c r="B14" s="16" t="s">
        <v>182</v>
      </c>
      <c r="C14" s="16" t="s">
        <v>384</v>
      </c>
      <c r="D14" s="16" t="s">
        <v>258</v>
      </c>
      <c r="E14" s="21">
        <f t="shared" si="0"/>
        <v>46027</v>
      </c>
      <c r="F14" s="22">
        <v>46027</v>
      </c>
      <c r="G14" s="9"/>
      <c r="H14" s="17">
        <f>SUMPRODUCT((LUOT_GUI!$B$2:$B$1000=A14)*(LEN(LUOT_GUI!$E$2:$E$1000)=0))</f>
        <v>1</v>
      </c>
      <c r="I14" s="12" t="str">
        <f>IFERROR(INDEX(VE_THANG!$A$2:$A$1000,MATCH(A14,VE_THANG!$B$2:$B$1000,0)),"")</f>
        <v/>
      </c>
      <c r="J14" s="21" t="str">
        <f>IFERROR(INDEX(VE_THANG!$G$2:$G$1000,MATCH(A14,VE_THANG!$B$2:$B$1000,0)),"")</f>
        <v/>
      </c>
      <c r="K14" s="12" t="str">
        <f>IFERROR(INDEX(VE_THANG!$H$2:$H$1000,MATCH(A14,VE_THANG!$B$2:$B$1000,0)),"")</f>
        <v/>
      </c>
      <c r="L14" s="12" t="str">
        <f>IFERROR(INDEX(VE_THANG!$I$2:$I$1000,MATCH(A14,VE_THANG!$B$2:$B$1000,0)),"")</f>
        <v/>
      </c>
      <c r="M14" s="12" t="str">
        <f t="shared" si="1"/>
        <v>Đang trong bãi - quét để RA</v>
      </c>
      <c r="N14" s="12" t="str">
        <f>IF(SUMPRODUCT(--(THE_XE!$A$2:$A$1000=A14))=1,"ĐẠT","LỆCH")</f>
        <v>ĐẠT</v>
      </c>
      <c r="O14" s="12" t="str">
        <f t="shared" si="2"/>
        <v>ĐẠT</v>
      </c>
      <c r="P14" s="12" t="str">
        <f>IF(SUMPRODUCT(--(BAI_DO_XE!$A$2:$A$1000=B14))&gt;0,"ĐẠT","LỆCH")</f>
        <v>ĐẠT</v>
      </c>
      <c r="Q14" s="12" t="str">
        <f t="shared" si="3"/>
        <v>ĐẠT</v>
      </c>
      <c r="R14" s="12" t="str">
        <f t="shared" si="4"/>
        <v>ĐẠT</v>
      </c>
      <c r="S14" s="12" t="str">
        <f t="shared" si="5"/>
        <v>ĐẠT</v>
      </c>
    </row>
    <row r="15" spans="1:19" x14ac:dyDescent="0.2">
      <c r="A15" s="16" t="s">
        <v>399</v>
      </c>
      <c r="B15" s="16" t="s">
        <v>182</v>
      </c>
      <c r="C15" s="16" t="s">
        <v>386</v>
      </c>
      <c r="D15" s="16" t="s">
        <v>258</v>
      </c>
      <c r="E15" s="21">
        <f t="shared" si="0"/>
        <v>46028</v>
      </c>
      <c r="F15" s="22">
        <v>46028</v>
      </c>
      <c r="G15" s="9"/>
      <c r="H15" s="17">
        <f>SUMPRODUCT((LUOT_GUI!$B$2:$B$1000=A15)*(LEN(LUOT_GUI!$E$2:$E$1000)=0))</f>
        <v>0</v>
      </c>
      <c r="I15" s="12" t="str">
        <f>IFERROR(INDEX(VE_THANG!$A$2:$A$1000,MATCH(A15,VE_THANG!$B$2:$B$1000,0)),"")</f>
        <v>V0010</v>
      </c>
      <c r="J15" s="21">
        <f>IFERROR(INDEX(VE_THANG!$G$2:$G$1000,MATCH(A15,VE_THANG!$B$2:$B$1000,0)),"")</f>
        <v>46393</v>
      </c>
      <c r="K15" s="12" t="str">
        <f>IFERROR(INDEX(VE_THANG!$H$2:$H$1000,MATCH(A15,VE_THANG!$B$2:$B$1000,0)),"")</f>
        <v>Hoạt động</v>
      </c>
      <c r="L15" s="12" t="str">
        <f>IFERROR(INDEX(VE_THANG!$I$2:$I$1000,MATCH(A15,VE_THANG!$B$2:$B$1000,0)),"")</f>
        <v>BAI_BT</v>
      </c>
      <c r="M15" s="12" t="str">
        <f t="shared" si="1"/>
        <v>Cho phép VÀO chỉ tại BAI_BT</v>
      </c>
      <c r="N15" s="12" t="str">
        <f>IF(SUMPRODUCT(--(THE_XE!$A$2:$A$1000=A15))=1,"ĐẠT","LỆCH")</f>
        <v>ĐẠT</v>
      </c>
      <c r="O15" s="12" t="str">
        <f t="shared" si="2"/>
        <v>ĐẠT</v>
      </c>
      <c r="P15" s="12" t="str">
        <f>IF(SUMPRODUCT(--(BAI_DO_XE!$A$2:$A$1000=B15))&gt;0,"ĐẠT","LỆCH")</f>
        <v>ĐẠT</v>
      </c>
      <c r="Q15" s="12" t="str">
        <f t="shared" si="3"/>
        <v>ĐẠT</v>
      </c>
      <c r="R15" s="12" t="str">
        <f t="shared" si="4"/>
        <v>ĐẠT</v>
      </c>
      <c r="S15" s="12" t="str">
        <f t="shared" si="5"/>
        <v>ĐẠT</v>
      </c>
    </row>
    <row r="16" spans="1:19" x14ac:dyDescent="0.2">
      <c r="A16" s="16" t="s">
        <v>400</v>
      </c>
      <c r="B16" s="16" t="s">
        <v>182</v>
      </c>
      <c r="C16" s="16" t="s">
        <v>384</v>
      </c>
      <c r="D16" s="16" t="s">
        <v>258</v>
      </c>
      <c r="E16" s="21">
        <f t="shared" si="0"/>
        <v>46032</v>
      </c>
      <c r="F16" s="22">
        <v>46032</v>
      </c>
      <c r="G16" s="9"/>
      <c r="H16" s="17">
        <f>SUMPRODUCT((LUOT_GUI!$B$2:$B$1000=A16)*(LEN(LUOT_GUI!$E$2:$E$1000)=0))</f>
        <v>0</v>
      </c>
      <c r="I16" s="12" t="str">
        <f>IFERROR(INDEX(VE_THANG!$A$2:$A$1000,MATCH(A16,VE_THANG!$B$2:$B$1000,0)),"")</f>
        <v/>
      </c>
      <c r="J16" s="21" t="str">
        <f>IFERROR(INDEX(VE_THANG!$G$2:$G$1000,MATCH(A16,VE_THANG!$B$2:$B$1000,0)),"")</f>
        <v/>
      </c>
      <c r="K16" s="12" t="str">
        <f>IFERROR(INDEX(VE_THANG!$H$2:$H$1000,MATCH(A16,VE_THANG!$B$2:$B$1000,0)),"")</f>
        <v/>
      </c>
      <c r="L16" s="12" t="str">
        <f>IFERROR(INDEX(VE_THANG!$I$2:$I$1000,MATCH(A16,VE_THANG!$B$2:$B$1000,0)),"")</f>
        <v/>
      </c>
      <c r="M16" s="12" t="str">
        <f t="shared" si="1"/>
        <v>Cho phép VÀO tại BAI_BT</v>
      </c>
      <c r="N16" s="12" t="str">
        <f>IF(SUMPRODUCT(--(THE_XE!$A$2:$A$1000=A16))=1,"ĐẠT","LỆCH")</f>
        <v>ĐẠT</v>
      </c>
      <c r="O16" s="12" t="str">
        <f t="shared" si="2"/>
        <v>ĐẠT</v>
      </c>
      <c r="P16" s="12" t="str">
        <f>IF(SUMPRODUCT(--(BAI_DO_XE!$A$2:$A$1000=B16))&gt;0,"ĐẠT","LỆCH")</f>
        <v>ĐẠT</v>
      </c>
      <c r="Q16" s="12" t="str">
        <f t="shared" si="3"/>
        <v>ĐẠT</v>
      </c>
      <c r="R16" s="12" t="str">
        <f t="shared" si="4"/>
        <v>ĐẠT</v>
      </c>
      <c r="S16" s="12" t="str">
        <f t="shared" si="5"/>
        <v>ĐẠT</v>
      </c>
    </row>
    <row r="17" spans="1:19" x14ac:dyDescent="0.2">
      <c r="A17" s="16" t="s">
        <v>401</v>
      </c>
      <c r="B17" s="16" t="s">
        <v>194</v>
      </c>
      <c r="C17" s="16" t="s">
        <v>384</v>
      </c>
      <c r="D17" s="16" t="s">
        <v>258</v>
      </c>
      <c r="E17" s="21">
        <f t="shared" si="0"/>
        <v>46054</v>
      </c>
      <c r="F17" s="22">
        <v>46054</v>
      </c>
      <c r="G17" s="9"/>
      <c r="H17" s="17">
        <f>SUMPRODUCT((LUOT_GUI!$B$2:$B$1000=A17)*(LEN(LUOT_GUI!$E$2:$E$1000)=0))</f>
        <v>1</v>
      </c>
      <c r="I17" s="12" t="str">
        <f>IFERROR(INDEX(VE_THANG!$A$2:$A$1000,MATCH(A17,VE_THANG!$B$2:$B$1000,0)),"")</f>
        <v/>
      </c>
      <c r="J17" s="21" t="str">
        <f>IFERROR(INDEX(VE_THANG!$G$2:$G$1000,MATCH(A17,VE_THANG!$B$2:$B$1000,0)),"")</f>
        <v/>
      </c>
      <c r="K17" s="12" t="str">
        <f>IFERROR(INDEX(VE_THANG!$H$2:$H$1000,MATCH(A17,VE_THANG!$B$2:$B$1000,0)),"")</f>
        <v/>
      </c>
      <c r="L17" s="12" t="str">
        <f>IFERROR(INDEX(VE_THANG!$I$2:$I$1000,MATCH(A17,VE_THANG!$B$2:$B$1000,0)),"")</f>
        <v/>
      </c>
      <c r="M17" s="12" t="str">
        <f t="shared" si="1"/>
        <v>Đang trong bãi - quét để RA</v>
      </c>
      <c r="N17" s="12" t="str">
        <f>IF(SUMPRODUCT(--(THE_XE!$A$2:$A$1000=A17))=1,"ĐẠT","LỆCH")</f>
        <v>ĐẠT</v>
      </c>
      <c r="O17" s="12" t="str">
        <f t="shared" si="2"/>
        <v>ĐẠT</v>
      </c>
      <c r="P17" s="12" t="str">
        <f>IF(SUMPRODUCT(--(BAI_DO_XE!$A$2:$A$1000=B17))&gt;0,"ĐẠT","LỆCH")</f>
        <v>ĐẠT</v>
      </c>
      <c r="Q17" s="12" t="str">
        <f t="shared" si="3"/>
        <v>ĐẠT</v>
      </c>
      <c r="R17" s="12" t="str">
        <f t="shared" si="4"/>
        <v>ĐẠT</v>
      </c>
      <c r="S17" s="12" t="str">
        <f t="shared" si="5"/>
        <v>ĐẠT</v>
      </c>
    </row>
    <row r="18" spans="1:19" x14ac:dyDescent="0.2">
      <c r="A18" s="16" t="s">
        <v>402</v>
      </c>
      <c r="B18" s="16" t="s">
        <v>194</v>
      </c>
      <c r="C18" s="16" t="s">
        <v>386</v>
      </c>
      <c r="D18" s="16" t="s">
        <v>258</v>
      </c>
      <c r="E18" s="21">
        <f t="shared" si="0"/>
        <v>46082</v>
      </c>
      <c r="F18" s="22">
        <v>46082</v>
      </c>
      <c r="G18" s="9"/>
      <c r="H18" s="17">
        <f>SUMPRODUCT((LUOT_GUI!$B$2:$B$1000=A18)*(LEN(LUOT_GUI!$E$2:$E$1000)=0))</f>
        <v>0</v>
      </c>
      <c r="I18" s="12" t="str">
        <f>IFERROR(INDEX(VE_THANG!$A$2:$A$1000,MATCH(A18,VE_THANG!$B$2:$B$1000,0)),"")</f>
        <v>V0006</v>
      </c>
      <c r="J18" s="21">
        <f>IFERROR(INDEX(VE_THANG!$G$2:$G$1000,MATCH(A18,VE_THANG!$B$2:$B$1000,0)),"")</f>
        <v>46447</v>
      </c>
      <c r="K18" s="12" t="str">
        <f>IFERROR(INDEX(VE_THANG!$H$2:$H$1000,MATCH(A18,VE_THANG!$B$2:$B$1000,0)),"")</f>
        <v>Hoạt động</v>
      </c>
      <c r="L18" s="12" t="str">
        <f>IFERROR(INDEX(VE_THANG!$I$2:$I$1000,MATCH(A18,VE_THANG!$B$2:$B$1000,0)),"")</f>
        <v>BAI_TB</v>
      </c>
      <c r="M18" s="12" t="str">
        <f t="shared" si="1"/>
        <v>Cho phép VÀO chỉ tại BAI_TB</v>
      </c>
      <c r="N18" s="12" t="str">
        <f>IF(SUMPRODUCT(--(THE_XE!$A$2:$A$1000=A18))=1,"ĐẠT","LỆCH")</f>
        <v>ĐẠT</v>
      </c>
      <c r="O18" s="12" t="str">
        <f t="shared" si="2"/>
        <v>ĐẠT</v>
      </c>
      <c r="P18" s="12" t="str">
        <f>IF(SUMPRODUCT(--(BAI_DO_XE!$A$2:$A$1000=B18))&gt;0,"ĐẠT","LỆCH")</f>
        <v>ĐẠT</v>
      </c>
      <c r="Q18" s="12" t="str">
        <f t="shared" si="3"/>
        <v>ĐẠT</v>
      </c>
      <c r="R18" s="12" t="str">
        <f t="shared" si="4"/>
        <v>ĐẠT</v>
      </c>
      <c r="S18" s="12" t="str">
        <f t="shared" si="5"/>
        <v>ĐẠT</v>
      </c>
    </row>
    <row r="19" spans="1:19" x14ac:dyDescent="0.2">
      <c r="A19" s="16" t="s">
        <v>403</v>
      </c>
      <c r="B19" s="16" t="s">
        <v>194</v>
      </c>
      <c r="C19" s="16" t="s">
        <v>384</v>
      </c>
      <c r="D19" s="16" t="s">
        <v>258</v>
      </c>
      <c r="E19" s="21">
        <f t="shared" si="0"/>
        <v>46054</v>
      </c>
      <c r="F19" s="22">
        <v>46054</v>
      </c>
      <c r="G19" s="9"/>
      <c r="H19" s="17">
        <f>SUMPRODUCT((LUOT_GUI!$B$2:$B$1000=A19)*(LEN(LUOT_GUI!$E$2:$E$1000)=0))</f>
        <v>1</v>
      </c>
      <c r="I19" s="12" t="str">
        <f>IFERROR(INDEX(VE_THANG!$A$2:$A$1000,MATCH(A19,VE_THANG!$B$2:$B$1000,0)),"")</f>
        <v/>
      </c>
      <c r="J19" s="21" t="str">
        <f>IFERROR(INDEX(VE_THANG!$G$2:$G$1000,MATCH(A19,VE_THANG!$B$2:$B$1000,0)),"")</f>
        <v/>
      </c>
      <c r="K19" s="12" t="str">
        <f>IFERROR(INDEX(VE_THANG!$H$2:$H$1000,MATCH(A19,VE_THANG!$B$2:$B$1000,0)),"")</f>
        <v/>
      </c>
      <c r="L19" s="12" t="str">
        <f>IFERROR(INDEX(VE_THANG!$I$2:$I$1000,MATCH(A19,VE_THANG!$B$2:$B$1000,0)),"")</f>
        <v/>
      </c>
      <c r="M19" s="12" t="str">
        <f t="shared" si="1"/>
        <v>Đang trong bãi - quét để RA</v>
      </c>
      <c r="N19" s="12" t="str">
        <f>IF(SUMPRODUCT(--(THE_XE!$A$2:$A$1000=A19))=1,"ĐẠT","LỆCH")</f>
        <v>ĐẠT</v>
      </c>
      <c r="O19" s="12" t="str">
        <f t="shared" si="2"/>
        <v>ĐẠT</v>
      </c>
      <c r="P19" s="12" t="str">
        <f>IF(SUMPRODUCT(--(BAI_DO_XE!$A$2:$A$1000=B19))&gt;0,"ĐẠT","LỆCH")</f>
        <v>ĐẠT</v>
      </c>
      <c r="Q19" s="12" t="str">
        <f t="shared" si="3"/>
        <v>ĐẠT</v>
      </c>
      <c r="R19" s="12" t="str">
        <f t="shared" si="4"/>
        <v>ĐẠT</v>
      </c>
      <c r="S19" s="12" t="str">
        <f t="shared" si="5"/>
        <v>ĐẠT</v>
      </c>
    </row>
    <row r="20" spans="1:19" x14ac:dyDescent="0.2">
      <c r="A20" s="16" t="s">
        <v>404</v>
      </c>
      <c r="B20" s="16" t="s">
        <v>194</v>
      </c>
      <c r="C20" s="16" t="s">
        <v>386</v>
      </c>
      <c r="D20" s="16" t="s">
        <v>258</v>
      </c>
      <c r="E20" s="21">
        <f t="shared" si="0"/>
        <v>46268</v>
      </c>
      <c r="F20" s="22"/>
      <c r="G20" s="9">
        <v>28</v>
      </c>
      <c r="H20" s="17">
        <f>SUMPRODUCT((LUOT_GUI!$B$2:$B$1000=A20)*(LEN(LUOT_GUI!$E$2:$E$1000)=0))</f>
        <v>1</v>
      </c>
      <c r="I20" s="12" t="str">
        <f>IFERROR(INDEX(VE_THANG!$A$2:$A$1000,MATCH(A20,VE_THANG!$B$2:$B$1000,0)),"")</f>
        <v>V0007</v>
      </c>
      <c r="J20" s="21">
        <f>IFERROR(INDEX(VE_THANG!$G$2:$G$1000,MATCH(A20,VE_THANG!$B$2:$B$1000,0)),"")</f>
        <v>46298</v>
      </c>
      <c r="K20" s="12" t="str">
        <f>IFERROR(INDEX(VE_THANG!$H$2:$H$1000,MATCH(A20,VE_THANG!$B$2:$B$1000,0)),"")</f>
        <v>Hoạt động</v>
      </c>
      <c r="L20" s="12" t="str">
        <f>IFERROR(INDEX(VE_THANG!$I$2:$I$1000,MATCH(A20,VE_THANG!$B$2:$B$1000,0)),"")</f>
        <v>BAI_TB</v>
      </c>
      <c r="M20" s="12" t="str">
        <f t="shared" si="1"/>
        <v>Đang trong bãi - quét để RA</v>
      </c>
      <c r="N20" s="12" t="str">
        <f>IF(SUMPRODUCT(--(THE_XE!$A$2:$A$1000=A20))=1,"ĐẠT","LỆCH")</f>
        <v>ĐẠT</v>
      </c>
      <c r="O20" s="12" t="str">
        <f t="shared" si="2"/>
        <v>ĐẠT</v>
      </c>
      <c r="P20" s="12" t="str">
        <f>IF(SUMPRODUCT(--(BAI_DO_XE!$A$2:$A$1000=B20))&gt;0,"ĐẠT","LỆCH")</f>
        <v>ĐẠT</v>
      </c>
      <c r="Q20" s="12" t="str">
        <f t="shared" si="3"/>
        <v>ĐẠT</v>
      </c>
      <c r="R20" s="12" t="str">
        <f t="shared" si="4"/>
        <v>ĐẠT</v>
      </c>
      <c r="S20" s="12" t="str">
        <f t="shared" si="5"/>
        <v>ĐẠT</v>
      </c>
    </row>
    <row r="21" spans="1:19" x14ac:dyDescent="0.2">
      <c r="A21" s="16" t="s">
        <v>405</v>
      </c>
      <c r="B21" s="16" t="s">
        <v>194</v>
      </c>
      <c r="C21" s="16" t="s">
        <v>384</v>
      </c>
      <c r="D21" s="16" t="s">
        <v>266</v>
      </c>
      <c r="E21" s="21">
        <f t="shared" si="0"/>
        <v>46063</v>
      </c>
      <c r="F21" s="22">
        <v>46063</v>
      </c>
      <c r="G21" s="9"/>
      <c r="H21" s="17">
        <f>SUMPRODUCT((LUOT_GUI!$B$2:$B$1000=A21)*(LEN(LUOT_GUI!$E$2:$E$1000)=0))</f>
        <v>0</v>
      </c>
      <c r="I21" s="12" t="str">
        <f>IFERROR(INDEX(VE_THANG!$A$2:$A$1000,MATCH(A21,VE_THANG!$B$2:$B$1000,0)),"")</f>
        <v/>
      </c>
      <c r="J21" s="21" t="str">
        <f>IFERROR(INDEX(VE_THANG!$G$2:$G$1000,MATCH(A21,VE_THANG!$B$2:$B$1000,0)),"")</f>
        <v/>
      </c>
      <c r="K21" s="12" t="str">
        <f>IFERROR(INDEX(VE_THANG!$H$2:$H$1000,MATCH(A21,VE_THANG!$B$2:$B$1000,0)),"")</f>
        <v/>
      </c>
      <c r="L21" s="12" t="str">
        <f>IFERROR(INDEX(VE_THANG!$I$2:$I$1000,MATCH(A21,VE_THANG!$B$2:$B$1000,0)),"")</f>
        <v/>
      </c>
      <c r="M21" s="12" t="str">
        <f t="shared" si="1"/>
        <v>CHẶN 50002 - Thẻ khóa/mất</v>
      </c>
      <c r="N21" s="12" t="str">
        <f>IF(SUMPRODUCT(--(THE_XE!$A$2:$A$1000=A21))=1,"ĐẠT","LỆCH")</f>
        <v>ĐẠT</v>
      </c>
      <c r="O21" s="12" t="str">
        <f t="shared" si="2"/>
        <v>ĐẠT</v>
      </c>
      <c r="P21" s="12" t="str">
        <f>IF(SUMPRODUCT(--(BAI_DO_XE!$A$2:$A$1000=B21))&gt;0,"ĐẠT","LỆCH")</f>
        <v>ĐẠT</v>
      </c>
      <c r="Q21" s="12" t="str">
        <f t="shared" si="3"/>
        <v>ĐẠT</v>
      </c>
      <c r="R21" s="12" t="str">
        <f t="shared" si="4"/>
        <v>ĐẠT</v>
      </c>
      <c r="S21" s="12" t="str">
        <f t="shared" si="5"/>
        <v>ĐẠT</v>
      </c>
    </row>
    <row r="22" spans="1:19" x14ac:dyDescent="0.2">
      <c r="A22" s="16" t="s">
        <v>406</v>
      </c>
      <c r="B22" s="16" t="s">
        <v>191</v>
      </c>
      <c r="C22" s="16" t="s">
        <v>384</v>
      </c>
      <c r="D22" s="16" t="s">
        <v>258</v>
      </c>
      <c r="E22" s="21">
        <f t="shared" si="0"/>
        <v>46037</v>
      </c>
      <c r="F22" s="22">
        <v>46037</v>
      </c>
      <c r="G22" s="9"/>
      <c r="H22" s="17">
        <f>SUMPRODUCT((LUOT_GUI!$B$2:$B$1000=A22)*(LEN(LUOT_GUI!$E$2:$E$1000)=0))</f>
        <v>1</v>
      </c>
      <c r="I22" s="12" t="str">
        <f>IFERROR(INDEX(VE_THANG!$A$2:$A$1000,MATCH(A22,VE_THANG!$B$2:$B$1000,0)),"")</f>
        <v/>
      </c>
      <c r="J22" s="21" t="str">
        <f>IFERROR(INDEX(VE_THANG!$G$2:$G$1000,MATCH(A22,VE_THANG!$B$2:$B$1000,0)),"")</f>
        <v/>
      </c>
      <c r="K22" s="12" t="str">
        <f>IFERROR(INDEX(VE_THANG!$H$2:$H$1000,MATCH(A22,VE_THANG!$B$2:$B$1000,0)),"")</f>
        <v/>
      </c>
      <c r="L22" s="12" t="str">
        <f>IFERROR(INDEX(VE_THANG!$I$2:$I$1000,MATCH(A22,VE_THANG!$B$2:$B$1000,0)),"")</f>
        <v/>
      </c>
      <c r="M22" s="12" t="str">
        <f t="shared" si="1"/>
        <v>Đang trong bãi - quét để RA</v>
      </c>
      <c r="N22" s="12" t="str">
        <f>IF(SUMPRODUCT(--(THE_XE!$A$2:$A$1000=A22))=1,"ĐẠT","LỆCH")</f>
        <v>ĐẠT</v>
      </c>
      <c r="O22" s="12" t="str">
        <f t="shared" si="2"/>
        <v>ĐẠT</v>
      </c>
      <c r="P22" s="12" t="str">
        <f>IF(SUMPRODUCT(--(BAI_DO_XE!$A$2:$A$1000=B22))&gt;0,"ĐẠT","LỆCH")</f>
        <v>ĐẠT</v>
      </c>
      <c r="Q22" s="12" t="str">
        <f t="shared" si="3"/>
        <v>ĐẠT</v>
      </c>
      <c r="R22" s="12" t="str">
        <f t="shared" si="4"/>
        <v>ĐẠT</v>
      </c>
      <c r="S22" s="12" t="str">
        <f t="shared" si="5"/>
        <v>ĐẠT</v>
      </c>
    </row>
    <row r="23" spans="1:19" x14ac:dyDescent="0.2">
      <c r="A23" s="16" t="s">
        <v>407</v>
      </c>
      <c r="B23" s="16" t="s">
        <v>191</v>
      </c>
      <c r="C23" s="16" t="s">
        <v>386</v>
      </c>
      <c r="D23" s="16" t="s">
        <v>258</v>
      </c>
      <c r="E23" s="21">
        <f t="shared" si="0"/>
        <v>46037</v>
      </c>
      <c r="F23" s="22">
        <v>46037</v>
      </c>
      <c r="G23" s="9"/>
      <c r="H23" s="17">
        <f>SUMPRODUCT((LUOT_GUI!$B$2:$B$1000=A23)*(LEN(LUOT_GUI!$E$2:$E$1000)=0))</f>
        <v>0</v>
      </c>
      <c r="I23" s="12" t="str">
        <f>IFERROR(INDEX(VE_THANG!$A$2:$A$1000,MATCH(A23,VE_THANG!$B$2:$B$1000,0)),"")</f>
        <v>V0008</v>
      </c>
      <c r="J23" s="21">
        <f>IFERROR(INDEX(VE_THANG!$G$2:$G$1000,MATCH(A23,VE_THANG!$B$2:$B$1000,0)),"")</f>
        <v>46218</v>
      </c>
      <c r="K23" s="12" t="str">
        <f>IFERROR(INDEX(VE_THANG!$H$2:$H$1000,MATCH(A23,VE_THANG!$B$2:$B$1000,0)),"")</f>
        <v>Hết hạn</v>
      </c>
      <c r="L23" s="12" t="str">
        <f>IFERROR(INDEX(VE_THANG!$I$2:$I$1000,MATCH(A23,VE_THANG!$B$2:$B$1000,0)),"")</f>
        <v>BAI_Q7</v>
      </c>
      <c r="M23" s="12" t="str">
        <f t="shared" si="1"/>
        <v>CHẶN 50003 - Vé tháng hết hạn</v>
      </c>
      <c r="N23" s="12" t="str">
        <f>IF(SUMPRODUCT(--(THE_XE!$A$2:$A$1000=A23))=1,"ĐẠT","LỆCH")</f>
        <v>ĐẠT</v>
      </c>
      <c r="O23" s="12" t="str">
        <f t="shared" si="2"/>
        <v>ĐẠT</v>
      </c>
      <c r="P23" s="12" t="str">
        <f>IF(SUMPRODUCT(--(BAI_DO_XE!$A$2:$A$1000=B23))&gt;0,"ĐẠT","LỆCH")</f>
        <v>ĐẠT</v>
      </c>
      <c r="Q23" s="12" t="str">
        <f t="shared" si="3"/>
        <v>ĐẠT</v>
      </c>
      <c r="R23" s="12" t="str">
        <f t="shared" si="4"/>
        <v>ĐẠT</v>
      </c>
      <c r="S23" s="12" t="str">
        <f t="shared" si="5"/>
        <v>ĐẠT</v>
      </c>
    </row>
    <row r="24" spans="1:19" x14ac:dyDescent="0.2">
      <c r="A24" s="16" t="s">
        <v>408</v>
      </c>
      <c r="B24" s="16" t="s">
        <v>191</v>
      </c>
      <c r="C24" s="16" t="s">
        <v>384</v>
      </c>
      <c r="D24" s="16" t="s">
        <v>258</v>
      </c>
      <c r="E24" s="21">
        <f t="shared" si="0"/>
        <v>46037</v>
      </c>
      <c r="F24" s="22">
        <v>46037</v>
      </c>
      <c r="G24" s="9"/>
      <c r="H24" s="17">
        <f>SUMPRODUCT((LUOT_GUI!$B$2:$B$1000=A24)*(LEN(LUOT_GUI!$E$2:$E$1000)=0))</f>
        <v>0</v>
      </c>
      <c r="I24" s="12" t="str">
        <f>IFERROR(INDEX(VE_THANG!$A$2:$A$1000,MATCH(A24,VE_THANG!$B$2:$B$1000,0)),"")</f>
        <v/>
      </c>
      <c r="J24" s="21" t="str">
        <f>IFERROR(INDEX(VE_THANG!$G$2:$G$1000,MATCH(A24,VE_THANG!$B$2:$B$1000,0)),"")</f>
        <v/>
      </c>
      <c r="K24" s="12" t="str">
        <f>IFERROR(INDEX(VE_THANG!$H$2:$H$1000,MATCH(A24,VE_THANG!$B$2:$B$1000,0)),"")</f>
        <v/>
      </c>
      <c r="L24" s="12" t="str">
        <f>IFERROR(INDEX(VE_THANG!$I$2:$I$1000,MATCH(A24,VE_THANG!$B$2:$B$1000,0)),"")</f>
        <v/>
      </c>
      <c r="M24" s="12" t="str">
        <f t="shared" si="1"/>
        <v>Cho phép VÀO tại BAI_Q7</v>
      </c>
      <c r="N24" s="12" t="str">
        <f>IF(SUMPRODUCT(--(THE_XE!$A$2:$A$1000=A24))=1,"ĐẠT","LỆCH")</f>
        <v>ĐẠT</v>
      </c>
      <c r="O24" s="12" t="str">
        <f t="shared" si="2"/>
        <v>ĐẠT</v>
      </c>
      <c r="P24" s="12" t="str">
        <f>IF(SUMPRODUCT(--(BAI_DO_XE!$A$2:$A$1000=B24))&gt;0,"ĐẠT","LỆCH")</f>
        <v>ĐẠT</v>
      </c>
      <c r="Q24" s="12" t="str">
        <f t="shared" si="3"/>
        <v>ĐẠT</v>
      </c>
      <c r="R24" s="12" t="str">
        <f t="shared" si="4"/>
        <v>ĐẠT</v>
      </c>
      <c r="S24" s="12" t="str">
        <f t="shared" si="5"/>
        <v>ĐẠT</v>
      </c>
    </row>
    <row r="25" spans="1:19" x14ac:dyDescent="0.2">
      <c r="A25" s="16" t="s">
        <v>409</v>
      </c>
      <c r="B25" s="16" t="s">
        <v>191</v>
      </c>
      <c r="C25" s="16" t="s">
        <v>386</v>
      </c>
      <c r="D25" s="16" t="s">
        <v>258</v>
      </c>
      <c r="E25" s="21">
        <f t="shared" si="0"/>
        <v>46174</v>
      </c>
      <c r="F25" s="22">
        <v>46174</v>
      </c>
      <c r="G25" s="9"/>
      <c r="H25" s="17">
        <f>SUMPRODUCT((LUOT_GUI!$B$2:$B$1000=A25)*(LEN(LUOT_GUI!$E$2:$E$1000)=0))</f>
        <v>1</v>
      </c>
      <c r="I25" s="12" t="str">
        <f>IFERROR(INDEX(VE_THANG!$A$2:$A$1000,MATCH(A25,VE_THANG!$B$2:$B$1000,0)),"")</f>
        <v>V0009</v>
      </c>
      <c r="J25" s="21">
        <f>IFERROR(INDEX(VE_THANG!$G$2:$G$1000,MATCH(A25,VE_THANG!$B$2:$B$1000,0)),"")</f>
        <v>46357</v>
      </c>
      <c r="K25" s="12" t="str">
        <f>IFERROR(INDEX(VE_THANG!$H$2:$H$1000,MATCH(A25,VE_THANG!$B$2:$B$1000,0)),"")</f>
        <v>Hoạt động</v>
      </c>
      <c r="L25" s="12" t="str">
        <f>IFERROR(INDEX(VE_THANG!$I$2:$I$1000,MATCH(A25,VE_THANG!$B$2:$B$1000,0)),"")</f>
        <v>BAI_Q7</v>
      </c>
      <c r="M25" s="12" t="str">
        <f t="shared" si="1"/>
        <v>Đang trong bãi - quét để RA</v>
      </c>
      <c r="N25" s="12" t="str">
        <f>IF(SUMPRODUCT(--(THE_XE!$A$2:$A$1000=A25))=1,"ĐẠT","LỆCH")</f>
        <v>ĐẠT</v>
      </c>
      <c r="O25" s="12" t="str">
        <f t="shared" si="2"/>
        <v>ĐẠT</v>
      </c>
      <c r="P25" s="12" t="str">
        <f>IF(SUMPRODUCT(--(BAI_DO_XE!$A$2:$A$1000=B25))&gt;0,"ĐẠT","LỆCH")</f>
        <v>ĐẠT</v>
      </c>
      <c r="Q25" s="12" t="str">
        <f t="shared" si="3"/>
        <v>ĐẠT</v>
      </c>
      <c r="R25" s="12" t="str">
        <f t="shared" si="4"/>
        <v>ĐẠT</v>
      </c>
      <c r="S25" s="12" t="str">
        <f t="shared" si="5"/>
        <v>ĐẠT</v>
      </c>
    </row>
    <row r="26" spans="1:19" x14ac:dyDescent="0.2">
      <c r="A26" s="16" t="s">
        <v>410</v>
      </c>
      <c r="B26" s="16" t="s">
        <v>191</v>
      </c>
      <c r="C26" s="16" t="s">
        <v>384</v>
      </c>
      <c r="D26" s="16" t="s">
        <v>391</v>
      </c>
      <c r="E26" s="21">
        <f t="shared" si="0"/>
        <v>46042</v>
      </c>
      <c r="F26" s="22">
        <v>46042</v>
      </c>
      <c r="G26" s="9"/>
      <c r="H26" s="17">
        <f>SUMPRODUCT((LUOT_GUI!$B$2:$B$1000=A26)*(LEN(LUOT_GUI!$E$2:$E$1000)=0))</f>
        <v>0</v>
      </c>
      <c r="I26" s="12" t="str">
        <f>IFERROR(INDEX(VE_THANG!$A$2:$A$1000,MATCH(A26,VE_THANG!$B$2:$B$1000,0)),"")</f>
        <v/>
      </c>
      <c r="J26" s="21" t="str">
        <f>IFERROR(INDEX(VE_THANG!$G$2:$G$1000,MATCH(A26,VE_THANG!$B$2:$B$1000,0)),"")</f>
        <v/>
      </c>
      <c r="K26" s="12" t="str">
        <f>IFERROR(INDEX(VE_THANG!$H$2:$H$1000,MATCH(A26,VE_THANG!$B$2:$B$1000,0)),"")</f>
        <v/>
      </c>
      <c r="L26" s="12" t="str">
        <f>IFERROR(INDEX(VE_THANG!$I$2:$I$1000,MATCH(A26,VE_THANG!$B$2:$B$1000,0)),"")</f>
        <v/>
      </c>
      <c r="M26" s="12" t="str">
        <f t="shared" si="1"/>
        <v>CHẶN 50002 - Thẻ khóa/mất</v>
      </c>
      <c r="N26" s="12" t="str">
        <f>IF(SUMPRODUCT(--(THE_XE!$A$2:$A$1000=A26))=1,"ĐẠT","LỆCH")</f>
        <v>ĐẠT</v>
      </c>
      <c r="O26" s="12" t="str">
        <f t="shared" si="2"/>
        <v>ĐẠT</v>
      </c>
      <c r="P26" s="12" t="str">
        <f>IF(SUMPRODUCT(--(BAI_DO_XE!$A$2:$A$1000=B26))&gt;0,"ĐẠT","LỆCH")</f>
        <v>ĐẠT</v>
      </c>
      <c r="Q26" s="12" t="str">
        <f t="shared" si="3"/>
        <v>ĐẠT</v>
      </c>
      <c r="R26" s="12" t="str">
        <f t="shared" si="4"/>
        <v>ĐẠT</v>
      </c>
      <c r="S26" s="12" t="str">
        <f t="shared" si="5"/>
        <v>ĐẠT</v>
      </c>
    </row>
  </sheetData>
  <autoFilter ref="A1:S26" xr:uid="{00000000-0009-0000-0000-000009000000}"/>
  <conditionalFormatting sqref="N2:S1000">
    <cfRule type="cellIs" dxfId="11" priority="2" operator="equal">
      <formula>"LỆCH"</formula>
    </cfRule>
    <cfRule type="cellIs" dxfId="10" priority="3" operator="equal">
      <formula>"ĐẠT"</formula>
    </cfRule>
  </conditionalFormatting>
  <dataValidations count="4">
    <dataValidation type="textLength" operator="lessThanOrEqual" showErrorMessage="1" errorTitle="Dữ liệu không hợp lệ" error="Tối đa 10 ký tự (VARCHAR/NVARCHAR(10))" sqref="A2:A1000" xr:uid="{00000000-0002-0000-0900-000000000000}">
      <formula1>10</formula1>
      <formula2>0</formula2>
    </dataValidation>
    <dataValidation type="list" showErrorMessage="1" errorTitle="Dữ liệu không hợp lệ" error="Chỉ chọn: Lượt, Tháng" sqref="C2:C1000" xr:uid="{00000000-0002-0000-0900-000001000000}">
      <formula1>"Lượt,Tháng"</formula1>
      <formula2>0</formula2>
    </dataValidation>
    <dataValidation type="list" showErrorMessage="1" errorTitle="Dữ liệu không hợp lệ" error="Chỉ chọn: Hoạt động, Bị khóa, Mất" sqref="D2:D1000" xr:uid="{00000000-0002-0000-0900-000002000000}">
      <formula1>"Hoạt động,Bị khóa,Mất"</formula1>
      <formula2>0</formula2>
    </dataValidation>
    <dataValidation type="whole" operator="greaterThan" allowBlank="1" showErrorMessage="1" errorTitle="Dữ liệu không hợp lệ" error="Phải là số &gt; 0" sqref="G2:G1000" xr:uid="{00000000-0002-0000-0900-000004000000}">
      <formula1>0</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showErrorMessage="1" errorTitle="Dữ liệu không hợp lệ" error="Giá trị phải tồn tại ở BAI_DO_XE.MaBai" xr:uid="{00000000-0002-0000-0900-000003000000}">
          <x14:formula1>
            <xm:f>BAI_DO_XE!$A$2:$A$1000</xm:f>
          </x14:formula1>
          <x14:formula2>
            <xm:f>0</xm:f>
          </x14:formula2>
          <xm:sqref>B2:B1000</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1"/>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5" defaultRowHeight="15" x14ac:dyDescent="0.2"/>
  <cols>
    <col min="1" max="1" width="12" customWidth="1"/>
    <col min="2" max="2" width="17" customWidth="1"/>
    <col min="3" max="3" width="12" customWidth="1"/>
    <col min="4" max="4" width="25" customWidth="1"/>
    <col min="5" max="5" width="14" customWidth="1"/>
    <col min="6" max="6" width="13" customWidth="1"/>
    <col min="7" max="7" width="12" customWidth="1"/>
    <col min="8" max="9" width="17" customWidth="1"/>
    <col min="10" max="10" width="19" customWidth="1"/>
    <col min="11" max="11" width="18" customWidth="1"/>
    <col min="12" max="12" width="15" customWidth="1"/>
  </cols>
  <sheetData>
    <row r="1" spans="1:12" ht="33.75" customHeight="1" x14ac:dyDescent="0.2">
      <c r="A1" s="13" t="s">
        <v>411</v>
      </c>
      <c r="B1" s="13" t="s">
        <v>198</v>
      </c>
      <c r="C1" s="13" t="s">
        <v>200</v>
      </c>
      <c r="D1" s="13" t="s">
        <v>201</v>
      </c>
      <c r="E1" s="13" t="s">
        <v>412</v>
      </c>
      <c r="F1" s="15" t="s">
        <v>413</v>
      </c>
      <c r="G1" s="15" t="s">
        <v>56</v>
      </c>
      <c r="H1" s="15" t="s">
        <v>60</v>
      </c>
      <c r="I1" s="15" t="s">
        <v>69</v>
      </c>
      <c r="J1" s="15" t="s">
        <v>71</v>
      </c>
      <c r="K1" s="15" t="s">
        <v>112</v>
      </c>
      <c r="L1" s="15" t="s">
        <v>114</v>
      </c>
    </row>
    <row r="2" spans="1:12" x14ac:dyDescent="0.2">
      <c r="A2" s="16" t="s">
        <v>414</v>
      </c>
      <c r="B2" s="16" t="s">
        <v>415</v>
      </c>
      <c r="C2" s="16" t="s">
        <v>416</v>
      </c>
      <c r="D2" s="16" t="s">
        <v>417</v>
      </c>
      <c r="E2" s="16" t="s">
        <v>418</v>
      </c>
      <c r="F2" s="17">
        <f>COUNTIF(VE_THANG!$C$2:$C$1000,A2)</f>
        <v>1</v>
      </c>
      <c r="G2" s="12" t="str">
        <f>IF(SUMPRODUCT(--(KHACH_HANG!$A$2:$A$1000=A2))=1,"ĐẠT","LỆCH")</f>
        <v>ĐẠT</v>
      </c>
      <c r="H2" s="12" t="str">
        <f t="shared" ref="H2:H11" si="0">IF(AND(LEN(A2)=6,LEFT(A2,2)="KH",ISNUMBER(-MID(A2,3,4)),ISERROR(FIND(".",MID(A2,3,4)))),"ĐẠT","LỆCH")</f>
        <v>ĐẠT</v>
      </c>
      <c r="I2" s="12" t="str">
        <f>IF(SUMPRODUCT(--(KHACH_HANG!$C$2:$C$1000=C2))=1,"ĐẠT","LỆCH")</f>
        <v>ĐẠT</v>
      </c>
      <c r="J2" s="12" t="str">
        <f>IF(LEN(D2)=0,"ĐẠT",IF(SUMPRODUCT(--(KHACH_HANG!$D$2:$D$1000=D2))=1,"ĐẠT","LỆCH"))</f>
        <v>ĐẠT</v>
      </c>
      <c r="K2" s="12" t="str">
        <f>IF(SUMPRODUCT(--(KHACH_HANG!$E$2:$E$1000=E2))=1,"ĐẠT","LỆCH")</f>
        <v>ĐẠT</v>
      </c>
      <c r="L2" s="12" t="str">
        <f t="shared" ref="L2:L11" si="1">IF(AND(LEN(E2)=12,ISNUMBER(-E2)),"ĐẠT","LỆCH")</f>
        <v>ĐẠT</v>
      </c>
    </row>
    <row r="3" spans="1:12" x14ac:dyDescent="0.2">
      <c r="A3" s="16" t="s">
        <v>419</v>
      </c>
      <c r="B3" s="16" t="s">
        <v>420</v>
      </c>
      <c r="C3" s="16" t="s">
        <v>421</v>
      </c>
      <c r="D3" s="16" t="s">
        <v>422</v>
      </c>
      <c r="E3" s="16" t="s">
        <v>423</v>
      </c>
      <c r="F3" s="17">
        <f>COUNTIF(VE_THANG!$C$2:$C$1000,A3)</f>
        <v>1</v>
      </c>
      <c r="G3" s="12" t="str">
        <f>IF(SUMPRODUCT(--(KHACH_HANG!$A$2:$A$1000=A3))=1,"ĐẠT","LỆCH")</f>
        <v>ĐẠT</v>
      </c>
      <c r="H3" s="12" t="str">
        <f t="shared" si="0"/>
        <v>ĐẠT</v>
      </c>
      <c r="I3" s="12" t="str">
        <f>IF(SUMPRODUCT(--(KHACH_HANG!$C$2:$C$1000=C3))=1,"ĐẠT","LỆCH")</f>
        <v>ĐẠT</v>
      </c>
      <c r="J3" s="12" t="str">
        <f>IF(LEN(D3)=0,"ĐẠT",IF(SUMPRODUCT(--(KHACH_HANG!$D$2:$D$1000=D3))=1,"ĐẠT","LỆCH"))</f>
        <v>ĐẠT</v>
      </c>
      <c r="K3" s="12" t="str">
        <f>IF(SUMPRODUCT(--(KHACH_HANG!$E$2:$E$1000=E3))=1,"ĐẠT","LỆCH")</f>
        <v>ĐẠT</v>
      </c>
      <c r="L3" s="12" t="str">
        <f t="shared" si="1"/>
        <v>ĐẠT</v>
      </c>
    </row>
    <row r="4" spans="1:12" x14ac:dyDescent="0.2">
      <c r="A4" s="16" t="s">
        <v>424</v>
      </c>
      <c r="B4" s="16" t="s">
        <v>425</v>
      </c>
      <c r="C4" s="16" t="s">
        <v>426</v>
      </c>
      <c r="D4" s="16" t="s">
        <v>427</v>
      </c>
      <c r="E4" s="16" t="s">
        <v>428</v>
      </c>
      <c r="F4" s="17">
        <f>COUNTIF(VE_THANG!$C$2:$C$1000,A4)</f>
        <v>1</v>
      </c>
      <c r="G4" s="12" t="str">
        <f>IF(SUMPRODUCT(--(KHACH_HANG!$A$2:$A$1000=A4))=1,"ĐẠT","LỆCH")</f>
        <v>ĐẠT</v>
      </c>
      <c r="H4" s="12" t="str">
        <f t="shared" si="0"/>
        <v>ĐẠT</v>
      </c>
      <c r="I4" s="12" t="str">
        <f>IF(SUMPRODUCT(--(KHACH_HANG!$C$2:$C$1000=C4))=1,"ĐẠT","LỆCH")</f>
        <v>ĐẠT</v>
      </c>
      <c r="J4" s="12" t="str">
        <f>IF(LEN(D4)=0,"ĐẠT",IF(SUMPRODUCT(--(KHACH_HANG!$D$2:$D$1000=D4))=1,"ĐẠT","LỆCH"))</f>
        <v>ĐẠT</v>
      </c>
      <c r="K4" s="12" t="str">
        <f>IF(SUMPRODUCT(--(KHACH_HANG!$E$2:$E$1000=E4))=1,"ĐẠT","LỆCH")</f>
        <v>ĐẠT</v>
      </c>
      <c r="L4" s="12" t="str">
        <f t="shared" si="1"/>
        <v>ĐẠT</v>
      </c>
    </row>
    <row r="5" spans="1:12" x14ac:dyDescent="0.2">
      <c r="A5" s="16" t="s">
        <v>429</v>
      </c>
      <c r="B5" s="16" t="s">
        <v>430</v>
      </c>
      <c r="C5" s="16" t="s">
        <v>431</v>
      </c>
      <c r="D5" s="16" t="s">
        <v>432</v>
      </c>
      <c r="E5" s="16" t="s">
        <v>433</v>
      </c>
      <c r="F5" s="17">
        <f>COUNTIF(VE_THANG!$C$2:$C$1000,A5)</f>
        <v>1</v>
      </c>
      <c r="G5" s="12" t="str">
        <f>IF(SUMPRODUCT(--(KHACH_HANG!$A$2:$A$1000=A5))=1,"ĐẠT","LỆCH")</f>
        <v>ĐẠT</v>
      </c>
      <c r="H5" s="12" t="str">
        <f t="shared" si="0"/>
        <v>ĐẠT</v>
      </c>
      <c r="I5" s="12" t="str">
        <f>IF(SUMPRODUCT(--(KHACH_HANG!$C$2:$C$1000=C5))=1,"ĐẠT","LỆCH")</f>
        <v>ĐẠT</v>
      </c>
      <c r="J5" s="12" t="str">
        <f>IF(LEN(D5)=0,"ĐẠT",IF(SUMPRODUCT(--(KHACH_HANG!$D$2:$D$1000=D5))=1,"ĐẠT","LỆCH"))</f>
        <v>ĐẠT</v>
      </c>
      <c r="K5" s="12" t="str">
        <f>IF(SUMPRODUCT(--(KHACH_HANG!$E$2:$E$1000=E5))=1,"ĐẠT","LỆCH")</f>
        <v>ĐẠT</v>
      </c>
      <c r="L5" s="12" t="str">
        <f t="shared" si="1"/>
        <v>ĐẠT</v>
      </c>
    </row>
    <row r="6" spans="1:12" x14ac:dyDescent="0.2">
      <c r="A6" s="16" t="s">
        <v>434</v>
      </c>
      <c r="B6" s="16" t="s">
        <v>435</v>
      </c>
      <c r="C6" s="16" t="s">
        <v>436</v>
      </c>
      <c r="D6" s="16" t="s">
        <v>437</v>
      </c>
      <c r="E6" s="16" t="s">
        <v>438</v>
      </c>
      <c r="F6" s="17">
        <f>COUNTIF(VE_THANG!$C$2:$C$1000,A6)</f>
        <v>1</v>
      </c>
      <c r="G6" s="12" t="str">
        <f>IF(SUMPRODUCT(--(KHACH_HANG!$A$2:$A$1000=A6))=1,"ĐẠT","LỆCH")</f>
        <v>ĐẠT</v>
      </c>
      <c r="H6" s="12" t="str">
        <f t="shared" si="0"/>
        <v>ĐẠT</v>
      </c>
      <c r="I6" s="12" t="str">
        <f>IF(SUMPRODUCT(--(KHACH_HANG!$C$2:$C$1000=C6))=1,"ĐẠT","LỆCH")</f>
        <v>ĐẠT</v>
      </c>
      <c r="J6" s="12" t="str">
        <f>IF(LEN(D6)=0,"ĐẠT",IF(SUMPRODUCT(--(KHACH_HANG!$D$2:$D$1000=D6))=1,"ĐẠT","LỆCH"))</f>
        <v>ĐẠT</v>
      </c>
      <c r="K6" s="12" t="str">
        <f>IF(SUMPRODUCT(--(KHACH_HANG!$E$2:$E$1000=E6))=1,"ĐẠT","LỆCH")</f>
        <v>ĐẠT</v>
      </c>
      <c r="L6" s="12" t="str">
        <f t="shared" si="1"/>
        <v>ĐẠT</v>
      </c>
    </row>
    <row r="7" spans="1:12" x14ac:dyDescent="0.2">
      <c r="A7" s="16" t="s">
        <v>439</v>
      </c>
      <c r="B7" s="16" t="s">
        <v>440</v>
      </c>
      <c r="C7" s="16" t="s">
        <v>441</v>
      </c>
      <c r="D7" s="16" t="s">
        <v>442</v>
      </c>
      <c r="E7" s="16" t="s">
        <v>443</v>
      </c>
      <c r="F7" s="17">
        <f>COUNTIF(VE_THANG!$C$2:$C$1000,A7)</f>
        <v>1</v>
      </c>
      <c r="G7" s="12" t="str">
        <f>IF(SUMPRODUCT(--(KHACH_HANG!$A$2:$A$1000=A7))=1,"ĐẠT","LỆCH")</f>
        <v>ĐẠT</v>
      </c>
      <c r="H7" s="12" t="str">
        <f t="shared" si="0"/>
        <v>ĐẠT</v>
      </c>
      <c r="I7" s="12" t="str">
        <f>IF(SUMPRODUCT(--(KHACH_HANG!$C$2:$C$1000=C7))=1,"ĐẠT","LỆCH")</f>
        <v>ĐẠT</v>
      </c>
      <c r="J7" s="12" t="str">
        <f>IF(LEN(D7)=0,"ĐẠT",IF(SUMPRODUCT(--(KHACH_HANG!$D$2:$D$1000=D7))=1,"ĐẠT","LỆCH"))</f>
        <v>ĐẠT</v>
      </c>
      <c r="K7" s="12" t="str">
        <f>IF(SUMPRODUCT(--(KHACH_HANG!$E$2:$E$1000=E7))=1,"ĐẠT","LỆCH")</f>
        <v>ĐẠT</v>
      </c>
      <c r="L7" s="12" t="str">
        <f t="shared" si="1"/>
        <v>ĐẠT</v>
      </c>
    </row>
    <row r="8" spans="1:12" x14ac:dyDescent="0.2">
      <c r="A8" s="16" t="s">
        <v>444</v>
      </c>
      <c r="B8" s="16" t="s">
        <v>445</v>
      </c>
      <c r="C8" s="16" t="s">
        <v>446</v>
      </c>
      <c r="D8" s="16" t="s">
        <v>447</v>
      </c>
      <c r="E8" s="16" t="s">
        <v>448</v>
      </c>
      <c r="F8" s="17">
        <f>COUNTIF(VE_THANG!$C$2:$C$1000,A8)</f>
        <v>1</v>
      </c>
      <c r="G8" s="12" t="str">
        <f>IF(SUMPRODUCT(--(KHACH_HANG!$A$2:$A$1000=A8))=1,"ĐẠT","LỆCH")</f>
        <v>ĐẠT</v>
      </c>
      <c r="H8" s="12" t="str">
        <f t="shared" si="0"/>
        <v>ĐẠT</v>
      </c>
      <c r="I8" s="12" t="str">
        <f>IF(SUMPRODUCT(--(KHACH_HANG!$C$2:$C$1000=C8))=1,"ĐẠT","LỆCH")</f>
        <v>ĐẠT</v>
      </c>
      <c r="J8" s="12" t="str">
        <f>IF(LEN(D8)=0,"ĐẠT",IF(SUMPRODUCT(--(KHACH_HANG!$D$2:$D$1000=D8))=1,"ĐẠT","LỆCH"))</f>
        <v>ĐẠT</v>
      </c>
      <c r="K8" s="12" t="str">
        <f>IF(SUMPRODUCT(--(KHACH_HANG!$E$2:$E$1000=E8))=1,"ĐẠT","LỆCH")</f>
        <v>ĐẠT</v>
      </c>
      <c r="L8" s="12" t="str">
        <f t="shared" si="1"/>
        <v>ĐẠT</v>
      </c>
    </row>
    <row r="9" spans="1:12" x14ac:dyDescent="0.2">
      <c r="A9" s="16" t="s">
        <v>449</v>
      </c>
      <c r="B9" s="16" t="s">
        <v>450</v>
      </c>
      <c r="C9" s="16" t="s">
        <v>451</v>
      </c>
      <c r="D9" s="16" t="s">
        <v>452</v>
      </c>
      <c r="E9" s="16" t="s">
        <v>453</v>
      </c>
      <c r="F9" s="17">
        <f>COUNTIF(VE_THANG!$C$2:$C$1000,A9)</f>
        <v>1</v>
      </c>
      <c r="G9" s="12" t="str">
        <f>IF(SUMPRODUCT(--(KHACH_HANG!$A$2:$A$1000=A9))=1,"ĐẠT","LỆCH")</f>
        <v>ĐẠT</v>
      </c>
      <c r="H9" s="12" t="str">
        <f t="shared" si="0"/>
        <v>ĐẠT</v>
      </c>
      <c r="I9" s="12" t="str">
        <f>IF(SUMPRODUCT(--(KHACH_HANG!$C$2:$C$1000=C9))=1,"ĐẠT","LỆCH")</f>
        <v>ĐẠT</v>
      </c>
      <c r="J9" s="12" t="str">
        <f>IF(LEN(D9)=0,"ĐẠT",IF(SUMPRODUCT(--(KHACH_HANG!$D$2:$D$1000=D9))=1,"ĐẠT","LỆCH"))</f>
        <v>ĐẠT</v>
      </c>
      <c r="K9" s="12" t="str">
        <f>IF(SUMPRODUCT(--(KHACH_HANG!$E$2:$E$1000=E9))=1,"ĐẠT","LỆCH")</f>
        <v>ĐẠT</v>
      </c>
      <c r="L9" s="12" t="str">
        <f t="shared" si="1"/>
        <v>ĐẠT</v>
      </c>
    </row>
    <row r="10" spans="1:12" x14ac:dyDescent="0.2">
      <c r="A10" s="16" t="s">
        <v>454</v>
      </c>
      <c r="B10" s="16" t="s">
        <v>455</v>
      </c>
      <c r="C10" s="16" t="s">
        <v>456</v>
      </c>
      <c r="D10" s="16" t="s">
        <v>457</v>
      </c>
      <c r="E10" s="16" t="s">
        <v>458</v>
      </c>
      <c r="F10" s="17">
        <f>COUNTIF(VE_THANG!$C$2:$C$1000,A10)</f>
        <v>1</v>
      </c>
      <c r="G10" s="12" t="str">
        <f>IF(SUMPRODUCT(--(KHACH_HANG!$A$2:$A$1000=A10))=1,"ĐẠT","LỆCH")</f>
        <v>ĐẠT</v>
      </c>
      <c r="H10" s="12" t="str">
        <f t="shared" si="0"/>
        <v>ĐẠT</v>
      </c>
      <c r="I10" s="12" t="str">
        <f>IF(SUMPRODUCT(--(KHACH_HANG!$C$2:$C$1000=C10))=1,"ĐẠT","LỆCH")</f>
        <v>ĐẠT</v>
      </c>
      <c r="J10" s="12" t="str">
        <f>IF(LEN(D10)=0,"ĐẠT",IF(SUMPRODUCT(--(KHACH_HANG!$D$2:$D$1000=D10))=1,"ĐẠT","LỆCH"))</f>
        <v>ĐẠT</v>
      </c>
      <c r="K10" s="12" t="str">
        <f>IF(SUMPRODUCT(--(KHACH_HANG!$E$2:$E$1000=E10))=1,"ĐẠT","LỆCH")</f>
        <v>ĐẠT</v>
      </c>
      <c r="L10" s="12" t="str">
        <f t="shared" si="1"/>
        <v>ĐẠT</v>
      </c>
    </row>
    <row r="11" spans="1:12" x14ac:dyDescent="0.2">
      <c r="A11" s="16" t="s">
        <v>459</v>
      </c>
      <c r="B11" s="16" t="s">
        <v>460</v>
      </c>
      <c r="C11" s="16" t="s">
        <v>461</v>
      </c>
      <c r="D11" s="16" t="s">
        <v>462</v>
      </c>
      <c r="E11" s="16" t="s">
        <v>463</v>
      </c>
      <c r="F11" s="17">
        <f>COUNTIF(VE_THANG!$C$2:$C$1000,A11)</f>
        <v>1</v>
      </c>
      <c r="G11" s="12" t="str">
        <f>IF(SUMPRODUCT(--(KHACH_HANG!$A$2:$A$1000=A11))=1,"ĐẠT","LỆCH")</f>
        <v>ĐẠT</v>
      </c>
      <c r="H11" s="12" t="str">
        <f t="shared" si="0"/>
        <v>ĐẠT</v>
      </c>
      <c r="I11" s="12" t="str">
        <f>IF(SUMPRODUCT(--(KHACH_HANG!$C$2:$C$1000=C11))=1,"ĐẠT","LỆCH")</f>
        <v>ĐẠT</v>
      </c>
      <c r="J11" s="12" t="str">
        <f>IF(LEN(D11)=0,"ĐẠT",IF(SUMPRODUCT(--(KHACH_HANG!$D$2:$D$1000=D11))=1,"ĐẠT","LỆCH"))</f>
        <v>ĐẠT</v>
      </c>
      <c r="K11" s="12" t="str">
        <f>IF(SUMPRODUCT(--(KHACH_HANG!$E$2:$E$1000=E11))=1,"ĐẠT","LỆCH")</f>
        <v>ĐẠT</v>
      </c>
      <c r="L11" s="12" t="str">
        <f t="shared" si="1"/>
        <v>ĐẠT</v>
      </c>
    </row>
  </sheetData>
  <autoFilter ref="A1:L11" xr:uid="{00000000-0009-0000-0000-00000A000000}"/>
  <conditionalFormatting sqref="G2:L1000">
    <cfRule type="cellIs" dxfId="9" priority="2" operator="equal">
      <formula>"LỆCH"</formula>
    </cfRule>
    <cfRule type="cellIs" dxfId="8" priority="3" operator="equal">
      <formula>"ĐẠT"</formula>
    </cfRule>
  </conditionalFormatting>
  <dataValidations count="5">
    <dataValidation type="textLength" operator="lessThanOrEqual" showErrorMessage="1" errorTitle="Dữ liệu không hợp lệ" error="Tối đa 10 ký tự (VARCHAR/NVARCHAR(10))" sqref="A2:A1000" xr:uid="{00000000-0002-0000-0A00-000000000000}">
      <formula1>10</formula1>
      <formula2>0</formula2>
    </dataValidation>
    <dataValidation type="textLength" operator="lessThanOrEqual" showErrorMessage="1" errorTitle="Dữ liệu không hợp lệ" error="Tối đa 100 ký tự (VARCHAR/NVARCHAR(100))" sqref="B2:B1000" xr:uid="{00000000-0002-0000-0A00-000001000000}">
      <formula1>100</formula1>
      <formula2>0</formula2>
    </dataValidation>
    <dataValidation type="textLength" operator="lessThanOrEqual" showErrorMessage="1" errorTitle="Dữ liệu không hợp lệ" error="Tối đa 15 ký tự (VARCHAR/NVARCHAR(15))" sqref="C2:C1000" xr:uid="{00000000-0002-0000-0A00-000002000000}">
      <formula1>15</formula1>
      <formula2>0</formula2>
    </dataValidation>
    <dataValidation type="textLength" operator="lessThanOrEqual" showErrorMessage="1" errorTitle="Dữ liệu không hợp lệ" error="Tối đa 12 ký tự (VARCHAR/NVARCHAR(12))" sqref="E2:E1000" xr:uid="{00000000-0002-0000-0A00-000003000000}">
      <formula1>12</formula1>
      <formula2>0</formula2>
    </dataValidation>
    <dataValidation type="textLength" operator="lessThanOrEqual" allowBlank="1" showErrorMessage="1" errorTitle="Dữ liệu không hợp lệ" error="Tối đa 100 ký tự (VARCHAR/NVARCHAR(100))" sqref="D2:D1000" xr:uid="{00000000-0002-0000-0A00-000004000000}">
      <formula1>100</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11"/>
  <sheetViews>
    <sheetView zoomScaleNormal="100" workbookViewId="0">
      <pane xSplit="1" ySplit="1" topLeftCell="G2" activePane="bottomRight" state="frozen"/>
      <selection pane="topRight" activeCell="B1" sqref="B1"/>
      <selection pane="bottomLeft" activeCell="A2" sqref="A2"/>
      <selection pane="bottomRight"/>
    </sheetView>
  </sheetViews>
  <sheetFormatPr baseColWidth="10" defaultColWidth="8.5" defaultRowHeight="15" x14ac:dyDescent="0.2"/>
  <cols>
    <col min="1" max="5" width="12" customWidth="1"/>
    <col min="6" max="7" width="14" customWidth="1"/>
    <col min="8" max="8" width="13" customWidth="1"/>
    <col min="9" max="9" width="15" customWidth="1"/>
    <col min="10" max="10" width="20" customWidth="1"/>
    <col min="11" max="11" width="22" customWidth="1"/>
    <col min="12" max="12" width="18" customWidth="1"/>
    <col min="13" max="13" width="21" customWidth="1"/>
    <col min="14" max="14" width="16" customWidth="1"/>
    <col min="15" max="15" width="18" customWidth="1"/>
    <col min="16" max="16" width="24" customWidth="1"/>
    <col min="17" max="17" width="14" customWidth="1"/>
    <col min="18" max="18" width="12" customWidth="1"/>
    <col min="19" max="19" width="17" customWidth="1"/>
    <col min="20" max="20" width="19" customWidth="1"/>
    <col min="21" max="21" width="12" customWidth="1"/>
    <col min="22" max="22" width="19" customWidth="1"/>
    <col min="23" max="23" width="17" customWidth="1"/>
    <col min="24" max="24" width="19" customWidth="1"/>
    <col min="25" max="26" width="15" customWidth="1"/>
    <col min="27" max="27" width="21" customWidth="1"/>
  </cols>
  <sheetData>
    <row r="1" spans="1:27" ht="33.75" customHeight="1" x14ac:dyDescent="0.2">
      <c r="A1" s="13" t="s">
        <v>378</v>
      </c>
      <c r="B1" s="13" t="s">
        <v>373</v>
      </c>
      <c r="C1" s="13" t="s">
        <v>411</v>
      </c>
      <c r="D1" s="13" t="s">
        <v>464</v>
      </c>
      <c r="E1" s="13" t="s">
        <v>274</v>
      </c>
      <c r="F1" s="14" t="s">
        <v>465</v>
      </c>
      <c r="G1" s="14" t="s">
        <v>466</v>
      </c>
      <c r="H1" s="13" t="s">
        <v>253</v>
      </c>
      <c r="I1" s="13" t="s">
        <v>467</v>
      </c>
      <c r="J1" s="20" t="s">
        <v>468</v>
      </c>
      <c r="K1" s="20" t="s">
        <v>469</v>
      </c>
      <c r="L1" s="15" t="s">
        <v>470</v>
      </c>
      <c r="M1" s="15" t="s">
        <v>471</v>
      </c>
      <c r="N1" s="15" t="s">
        <v>472</v>
      </c>
      <c r="O1" s="15" t="s">
        <v>473</v>
      </c>
      <c r="P1" s="15" t="s">
        <v>474</v>
      </c>
      <c r="Q1" s="15" t="s">
        <v>277</v>
      </c>
      <c r="R1" s="15" t="s">
        <v>56</v>
      </c>
      <c r="S1" s="15" t="s">
        <v>60</v>
      </c>
      <c r="T1" s="15" t="s">
        <v>119</v>
      </c>
      <c r="U1" s="15" t="s">
        <v>121</v>
      </c>
      <c r="V1" s="15" t="s">
        <v>123</v>
      </c>
      <c r="W1" s="15" t="s">
        <v>125</v>
      </c>
      <c r="X1" s="15" t="s">
        <v>127</v>
      </c>
      <c r="Y1" s="15" t="s">
        <v>129</v>
      </c>
      <c r="Z1" s="15" t="s">
        <v>131</v>
      </c>
      <c r="AA1" s="15" t="s">
        <v>133</v>
      </c>
    </row>
    <row r="2" spans="1:27" x14ac:dyDescent="0.2">
      <c r="A2" s="16" t="s">
        <v>475</v>
      </c>
      <c r="B2" s="16" t="s">
        <v>385</v>
      </c>
      <c r="C2" s="16" t="s">
        <v>414</v>
      </c>
      <c r="D2" s="16" t="s">
        <v>476</v>
      </c>
      <c r="E2" s="16" t="s">
        <v>284</v>
      </c>
      <c r="F2" s="21">
        <f t="shared" ref="F2:F11" si="0">IF(LEN(K2)&gt;0,INT(ThoiDiemNap)-K2,J2)</f>
        <v>46023</v>
      </c>
      <c r="G2" s="21">
        <f>IF(M2&gt;0,_xlfn.MAXIFS(HOA_DON_VE_THANG!$O$2:$O$1000,HOA_DON_VE_THANG!$B$2:$B$1000,A2),F2)</f>
        <v>46388</v>
      </c>
      <c r="H2" s="16" t="s">
        <v>258</v>
      </c>
      <c r="I2" s="16" t="s">
        <v>185</v>
      </c>
      <c r="J2" s="22">
        <v>46023</v>
      </c>
      <c r="K2" s="9"/>
      <c r="L2" s="12" t="str">
        <f>INDEX(KHACH_HANG!$B$2:$B$1000,MATCH(C2,KHACH_HANG!$A$2:$A$1000,0))</f>
        <v>Nguyễn Văn An</v>
      </c>
      <c r="M2" s="17">
        <f>SUMIFS(HOA_DON_VE_THANG!$D$2:$D$1000,HOA_DON_VE_THANG!$B$2:$B$1000,A2)</f>
        <v>12</v>
      </c>
      <c r="N2" s="17">
        <f t="shared" ref="N2:N11" si="1">G2-INT(ThoiDiemTinh)</f>
        <v>92</v>
      </c>
      <c r="O2" s="12" t="str">
        <f t="shared" ref="O2:O11" si="2">IF(N2&lt;0,"ĐÃ QUÁ HẠN: Tự động khóa thẻ và đổi trạng thái hết hạn",IF(N2&lt;=NguongCursorNgay,"CẢNH BÁO: Sắp hết hạn trong "&amp;N2&amp;" ngày. Gửi SMS/Email nhắc nộp phí.","Còn hạn an toàn"))</f>
        <v>Còn hạn an toàn</v>
      </c>
      <c r="P2" s="12" t="str">
        <f t="shared" ref="P2:P11" si="3">IF(N2&lt;=NguongViewNgay,"Có","")</f>
        <v/>
      </c>
      <c r="Q2" s="19">
        <f>SUMIFS(LOAI_XE!$E$2:$E$1000,LOAI_XE!$A$2:$A$1000,E2,LOAI_XE!$B$2:$B$1000,IF(I2="ALL",INDEX(THE_XE!$B$2:$B$1000,MATCH(B2,THE_XE!$A$2:$A$1000,0)),I2))</f>
        <v>180000</v>
      </c>
      <c r="R2" s="12" t="str">
        <f>IF(SUMPRODUCT(--(VE_THANG!$A$2:$A$1000=A2))=1,"ĐẠT","LỆCH")</f>
        <v>ĐẠT</v>
      </c>
      <c r="S2" s="12" t="str">
        <f t="shared" ref="S2:S11" si="4">IF(AND(LEN(A2)=5,LEFT(A2,1)="V",ISNUMBER(-MID(A2,2,4)),ISERROR(FIND(".",MID(A2,2,4)))),"ĐẠT","LỆCH")</f>
        <v>ĐẠT</v>
      </c>
      <c r="T2" s="12" t="str">
        <f>IF(SUMPRODUCT(--(VE_THANG!$B$2:$B$1000=B2))=1,"ĐẠT","LỆCH")</f>
        <v>ĐẠT</v>
      </c>
      <c r="U2" s="12" t="str">
        <f>IF(AND(SUMPRODUCT(--(THE_XE!$A$2:$A$1000=B2))&gt;0,SUMPRODUCT(--(KHACH_HANG!$A$2:$A$1000=C2))&gt;0),"ĐẠT","LỆCH")</f>
        <v>ĐẠT</v>
      </c>
      <c r="V2" s="12" t="str">
        <f>IF(INDEX(THE_XE!$C$2:$C$1000,MATCH(B2,THE_XE!$A$2:$A$1000,0))="Tháng","ĐẠT","LỆCH")</f>
        <v>ĐẠT</v>
      </c>
      <c r="W2" s="12" t="str">
        <f>IF(I2="ALL","ĐẠT",IF(INDEX(THE_XE!$B$2:$B$1000,MATCH(B2,THE_XE!$A$2:$A$1000,0))=I2,"ĐẠT","LỆCH"))</f>
        <v>ĐẠT</v>
      </c>
      <c r="X2" s="12" t="str">
        <f>IF(I2="ALL","ĐẠT",IF(SUMPRODUCT((LOAI_XE!$A$2:$A$1000=E2)*(LOAI_XE!$B$2:$B$1000=I2))&gt;0,"ĐẠT","LỆCH"))</f>
        <v>ĐẠT</v>
      </c>
      <c r="Y2" s="12" t="str">
        <f t="shared" ref="Y2:Y11" si="5">IF(M2&gt;0,"ĐẠT","LỆCH")</f>
        <v>ĐẠT</v>
      </c>
      <c r="Z2" s="12" t="str">
        <f t="shared" ref="Z2:Z11" si="6">IF(G2&gt;=F2,"ĐẠT","LỆCH")</f>
        <v>ĐẠT</v>
      </c>
      <c r="AA2" s="12" t="str">
        <f t="shared" ref="AA2:AA11" si="7">IF(N2&lt;0,IF(H2="Hết hạn","ĐẠT","LỆCH"),"ĐẠT")</f>
        <v>ĐẠT</v>
      </c>
    </row>
    <row r="3" spans="1:27" x14ac:dyDescent="0.2">
      <c r="A3" s="16" t="s">
        <v>477</v>
      </c>
      <c r="B3" s="16" t="s">
        <v>388</v>
      </c>
      <c r="C3" s="16" t="s">
        <v>419</v>
      </c>
      <c r="D3" s="16" t="s">
        <v>478</v>
      </c>
      <c r="E3" s="16" t="s">
        <v>280</v>
      </c>
      <c r="F3" s="21">
        <f t="shared" si="0"/>
        <v>46032</v>
      </c>
      <c r="G3" s="21">
        <f>IF(M3&gt;0,_xlfn.MAXIFS(HOA_DON_VE_THANG!$O$2:$O$1000,HOA_DON_VE_THANG!$B$2:$B$1000,A3),F3)</f>
        <v>46305</v>
      </c>
      <c r="H3" s="16" t="s">
        <v>258</v>
      </c>
      <c r="I3" s="16" t="s">
        <v>185</v>
      </c>
      <c r="J3" s="22">
        <v>46032</v>
      </c>
      <c r="K3" s="9"/>
      <c r="L3" s="12" t="str">
        <f>INDEX(KHACH_HANG!$B$2:$B$1000,MATCH(C3,KHACH_HANG!$A$2:$A$1000,0))</f>
        <v>Trần Thị Mai</v>
      </c>
      <c r="M3" s="17">
        <f>SUMIFS(HOA_DON_VE_THANG!$D$2:$D$1000,HOA_DON_VE_THANG!$B$2:$B$1000,A3)</f>
        <v>9</v>
      </c>
      <c r="N3" s="17">
        <f t="shared" si="1"/>
        <v>9</v>
      </c>
      <c r="O3" s="12" t="str">
        <f t="shared" si="2"/>
        <v>Còn hạn an toàn</v>
      </c>
      <c r="P3" s="12" t="str">
        <f t="shared" si="3"/>
        <v/>
      </c>
      <c r="Q3" s="19">
        <f>SUMIFS(LOAI_XE!$E$2:$E$1000,LOAI_XE!$A$2:$A$1000,E3,LOAI_XE!$B$2:$B$1000,IF(I3="ALL",INDEX(THE_XE!$B$2:$B$1000,MATCH(B3,THE_XE!$A$2:$A$1000,0)),I3))</f>
        <v>1800000</v>
      </c>
      <c r="R3" s="12" t="str">
        <f>IF(SUMPRODUCT(--(VE_THANG!$A$2:$A$1000=A3))=1,"ĐẠT","LỆCH")</f>
        <v>ĐẠT</v>
      </c>
      <c r="S3" s="12" t="str">
        <f t="shared" si="4"/>
        <v>ĐẠT</v>
      </c>
      <c r="T3" s="12" t="str">
        <f>IF(SUMPRODUCT(--(VE_THANG!$B$2:$B$1000=B3))=1,"ĐẠT","LỆCH")</f>
        <v>ĐẠT</v>
      </c>
      <c r="U3" s="12" t="str">
        <f>IF(AND(SUMPRODUCT(--(THE_XE!$A$2:$A$1000=B3))&gt;0,SUMPRODUCT(--(KHACH_HANG!$A$2:$A$1000=C3))&gt;0),"ĐẠT","LỆCH")</f>
        <v>ĐẠT</v>
      </c>
      <c r="V3" s="12" t="str">
        <f>IF(INDEX(THE_XE!$C$2:$C$1000,MATCH(B3,THE_XE!$A$2:$A$1000,0))="Tháng","ĐẠT","LỆCH")</f>
        <v>ĐẠT</v>
      </c>
      <c r="W3" s="12" t="str">
        <f>IF(I3="ALL","ĐẠT",IF(INDEX(THE_XE!$B$2:$B$1000,MATCH(B3,THE_XE!$A$2:$A$1000,0))=I3,"ĐẠT","LỆCH"))</f>
        <v>ĐẠT</v>
      </c>
      <c r="X3" s="12" t="str">
        <f>IF(I3="ALL","ĐẠT",IF(SUMPRODUCT((LOAI_XE!$A$2:$A$1000=E3)*(LOAI_XE!$B$2:$B$1000=I3))&gt;0,"ĐẠT","LỆCH"))</f>
        <v>ĐẠT</v>
      </c>
      <c r="Y3" s="12" t="str">
        <f t="shared" si="5"/>
        <v>ĐẠT</v>
      </c>
      <c r="Z3" s="12" t="str">
        <f t="shared" si="6"/>
        <v>ĐẠT</v>
      </c>
      <c r="AA3" s="12" t="str">
        <f t="shared" si="7"/>
        <v>ĐẠT</v>
      </c>
    </row>
    <row r="4" spans="1:27" x14ac:dyDescent="0.2">
      <c r="A4" s="16" t="s">
        <v>479</v>
      </c>
      <c r="B4" s="16" t="s">
        <v>393</v>
      </c>
      <c r="C4" s="16" t="s">
        <v>424</v>
      </c>
      <c r="D4" s="16" t="s">
        <v>480</v>
      </c>
      <c r="E4" s="16" t="s">
        <v>284</v>
      </c>
      <c r="F4" s="21">
        <f t="shared" si="0"/>
        <v>46025</v>
      </c>
      <c r="G4" s="21">
        <f>IF(M4&gt;0,_xlfn.MAXIFS(HOA_DON_VE_THANG!$O$2:$O$1000,HOA_DON_VE_THANG!$B$2:$B$1000,A4),F4)</f>
        <v>46056</v>
      </c>
      <c r="H4" s="16" t="s">
        <v>481</v>
      </c>
      <c r="I4" s="16" t="s">
        <v>188</v>
      </c>
      <c r="J4" s="22">
        <v>46025</v>
      </c>
      <c r="K4" s="9"/>
      <c r="L4" s="12" t="str">
        <f>INDEX(KHACH_HANG!$B$2:$B$1000,MATCH(C4,KHACH_HANG!$A$2:$A$1000,0))</f>
        <v>Lê Hoàng Long</v>
      </c>
      <c r="M4" s="17">
        <f>SUMIFS(HOA_DON_VE_THANG!$D$2:$D$1000,HOA_DON_VE_THANG!$B$2:$B$1000,A4)</f>
        <v>1</v>
      </c>
      <c r="N4" s="17">
        <f t="shared" si="1"/>
        <v>-240</v>
      </c>
      <c r="O4" s="12" t="str">
        <f t="shared" si="2"/>
        <v>ĐÃ QUÁ HẠN: Tự động khóa thẻ và đổi trạng thái hết hạn</v>
      </c>
      <c r="P4" s="12" t="str">
        <f t="shared" si="3"/>
        <v>Có</v>
      </c>
      <c r="Q4" s="19">
        <f>SUMIFS(LOAI_XE!$E$2:$E$1000,LOAI_XE!$A$2:$A$1000,E4,LOAI_XE!$B$2:$B$1000,IF(I4="ALL",INDEX(THE_XE!$B$2:$B$1000,MATCH(B4,THE_XE!$A$2:$A$1000,0)),I4))</f>
        <v>150000</v>
      </c>
      <c r="R4" s="12" t="str">
        <f>IF(SUMPRODUCT(--(VE_THANG!$A$2:$A$1000=A4))=1,"ĐẠT","LỆCH")</f>
        <v>ĐẠT</v>
      </c>
      <c r="S4" s="12" t="str">
        <f t="shared" si="4"/>
        <v>ĐẠT</v>
      </c>
      <c r="T4" s="12" t="str">
        <f>IF(SUMPRODUCT(--(VE_THANG!$B$2:$B$1000=B4))=1,"ĐẠT","LỆCH")</f>
        <v>ĐẠT</v>
      </c>
      <c r="U4" s="12" t="str">
        <f>IF(AND(SUMPRODUCT(--(THE_XE!$A$2:$A$1000=B4))&gt;0,SUMPRODUCT(--(KHACH_HANG!$A$2:$A$1000=C4))&gt;0),"ĐẠT","LỆCH")</f>
        <v>ĐẠT</v>
      </c>
      <c r="V4" s="12" t="str">
        <f>IF(INDEX(THE_XE!$C$2:$C$1000,MATCH(B4,THE_XE!$A$2:$A$1000,0))="Tháng","ĐẠT","LỆCH")</f>
        <v>ĐẠT</v>
      </c>
      <c r="W4" s="12" t="str">
        <f>IF(I4="ALL","ĐẠT",IF(INDEX(THE_XE!$B$2:$B$1000,MATCH(B4,THE_XE!$A$2:$A$1000,0))=I4,"ĐẠT","LỆCH"))</f>
        <v>ĐẠT</v>
      </c>
      <c r="X4" s="12" t="str">
        <f>IF(I4="ALL","ĐẠT",IF(SUMPRODUCT((LOAI_XE!$A$2:$A$1000=E4)*(LOAI_XE!$B$2:$B$1000=I4))&gt;0,"ĐẠT","LỆCH"))</f>
        <v>ĐẠT</v>
      </c>
      <c r="Y4" s="12" t="str">
        <f t="shared" si="5"/>
        <v>ĐẠT</v>
      </c>
      <c r="Z4" s="12" t="str">
        <f t="shared" si="6"/>
        <v>ĐẠT</v>
      </c>
      <c r="AA4" s="12" t="str">
        <f t="shared" si="7"/>
        <v>ĐẠT</v>
      </c>
    </row>
    <row r="5" spans="1:27" x14ac:dyDescent="0.2">
      <c r="A5" s="16" t="s">
        <v>482</v>
      </c>
      <c r="B5" s="16" t="s">
        <v>395</v>
      </c>
      <c r="C5" s="16" t="s">
        <v>429</v>
      </c>
      <c r="D5" s="16" t="s">
        <v>483</v>
      </c>
      <c r="E5" s="16" t="s">
        <v>280</v>
      </c>
      <c r="F5" s="21">
        <f t="shared" si="0"/>
        <v>46030</v>
      </c>
      <c r="G5" s="21">
        <f>IF(M5&gt;0,_xlfn.MAXIFS(HOA_DON_VE_THANG!$O$2:$O$1000,HOA_DON_VE_THANG!$B$2:$B$1000,A5),F5)</f>
        <v>46334</v>
      </c>
      <c r="H5" s="16" t="s">
        <v>258</v>
      </c>
      <c r="I5" s="16" t="s">
        <v>484</v>
      </c>
      <c r="J5" s="22">
        <v>46030</v>
      </c>
      <c r="K5" s="9"/>
      <c r="L5" s="12" t="str">
        <f>INDEX(KHACH_HANG!$B$2:$B$1000,MATCH(C5,KHACH_HANG!$A$2:$A$1000,0))</f>
        <v>Phạm Thu Trang</v>
      </c>
      <c r="M5" s="17">
        <f>SUMIFS(HOA_DON_VE_THANG!$D$2:$D$1000,HOA_DON_VE_THANG!$B$2:$B$1000,A5)</f>
        <v>10</v>
      </c>
      <c r="N5" s="17">
        <f t="shared" si="1"/>
        <v>38</v>
      </c>
      <c r="O5" s="12" t="str">
        <f t="shared" si="2"/>
        <v>Còn hạn an toàn</v>
      </c>
      <c r="P5" s="12" t="str">
        <f t="shared" si="3"/>
        <v/>
      </c>
      <c r="Q5" s="19">
        <f>SUMIFS(LOAI_XE!$E$2:$E$1000,LOAI_XE!$A$2:$A$1000,E5,LOAI_XE!$B$2:$B$1000,IF(I5="ALL",INDEX(THE_XE!$B$2:$B$1000,MATCH(B5,THE_XE!$A$2:$A$1000,0)),I5))</f>
        <v>1500000</v>
      </c>
      <c r="R5" s="12" t="str">
        <f>IF(SUMPRODUCT(--(VE_THANG!$A$2:$A$1000=A5))=1,"ĐẠT","LỆCH")</f>
        <v>ĐẠT</v>
      </c>
      <c r="S5" s="12" t="str">
        <f t="shared" si="4"/>
        <v>ĐẠT</v>
      </c>
      <c r="T5" s="12" t="str">
        <f>IF(SUMPRODUCT(--(VE_THANG!$B$2:$B$1000=B5))=1,"ĐẠT","LỆCH")</f>
        <v>ĐẠT</v>
      </c>
      <c r="U5" s="12" t="str">
        <f>IF(AND(SUMPRODUCT(--(THE_XE!$A$2:$A$1000=B5))&gt;0,SUMPRODUCT(--(KHACH_HANG!$A$2:$A$1000=C5))&gt;0),"ĐẠT","LỆCH")</f>
        <v>ĐẠT</v>
      </c>
      <c r="V5" s="12" t="str">
        <f>IF(INDEX(THE_XE!$C$2:$C$1000,MATCH(B5,THE_XE!$A$2:$A$1000,0))="Tháng","ĐẠT","LỆCH")</f>
        <v>ĐẠT</v>
      </c>
      <c r="W5" s="12" t="str">
        <f>IF(I5="ALL","ĐẠT",IF(INDEX(THE_XE!$B$2:$B$1000,MATCH(B5,THE_XE!$A$2:$A$1000,0))=I5,"ĐẠT","LỆCH"))</f>
        <v>ĐẠT</v>
      </c>
      <c r="X5" s="12" t="str">
        <f>IF(I5="ALL","ĐẠT",IF(SUMPRODUCT((LOAI_XE!$A$2:$A$1000=E5)*(LOAI_XE!$B$2:$B$1000=I5))&gt;0,"ĐẠT","LỆCH"))</f>
        <v>ĐẠT</v>
      </c>
      <c r="Y5" s="12" t="str">
        <f t="shared" si="5"/>
        <v>ĐẠT</v>
      </c>
      <c r="Z5" s="12" t="str">
        <f t="shared" si="6"/>
        <v>ĐẠT</v>
      </c>
      <c r="AA5" s="12" t="str">
        <f t="shared" si="7"/>
        <v>ĐẠT</v>
      </c>
    </row>
    <row r="6" spans="1:27" x14ac:dyDescent="0.2">
      <c r="A6" s="16" t="s">
        <v>485</v>
      </c>
      <c r="B6" s="16" t="s">
        <v>397</v>
      </c>
      <c r="C6" s="16" t="s">
        <v>434</v>
      </c>
      <c r="D6" s="16" t="s">
        <v>486</v>
      </c>
      <c r="E6" s="16" t="s">
        <v>284</v>
      </c>
      <c r="F6" s="21">
        <f t="shared" si="0"/>
        <v>46024</v>
      </c>
      <c r="G6" s="21">
        <f>IF(M6&gt;0,_xlfn.MAXIFS(HOA_DON_VE_THANG!$O$2:$O$1000,HOA_DON_VE_THANG!$B$2:$B$1000,A6),F6)</f>
        <v>46389</v>
      </c>
      <c r="H6" s="16" t="s">
        <v>258</v>
      </c>
      <c r="I6" s="16" t="s">
        <v>182</v>
      </c>
      <c r="J6" s="22">
        <v>46024</v>
      </c>
      <c r="K6" s="9"/>
      <c r="L6" s="12" t="str">
        <f>INDEX(KHACH_HANG!$B$2:$B$1000,MATCH(C6,KHACH_HANG!$A$2:$A$1000,0))</f>
        <v>Võ Minh Quân</v>
      </c>
      <c r="M6" s="17">
        <f>SUMIFS(HOA_DON_VE_THANG!$D$2:$D$1000,HOA_DON_VE_THANG!$B$2:$B$1000,A6)</f>
        <v>12</v>
      </c>
      <c r="N6" s="17">
        <f t="shared" si="1"/>
        <v>93</v>
      </c>
      <c r="O6" s="12" t="str">
        <f t="shared" si="2"/>
        <v>Còn hạn an toàn</v>
      </c>
      <c r="P6" s="12" t="str">
        <f t="shared" si="3"/>
        <v/>
      </c>
      <c r="Q6" s="19">
        <f>SUMIFS(LOAI_XE!$E$2:$E$1000,LOAI_XE!$A$2:$A$1000,E6,LOAI_XE!$B$2:$B$1000,IF(I6="ALL",INDEX(THE_XE!$B$2:$B$1000,MATCH(B6,THE_XE!$A$2:$A$1000,0)),I6))</f>
        <v>200000</v>
      </c>
      <c r="R6" s="12" t="str">
        <f>IF(SUMPRODUCT(--(VE_THANG!$A$2:$A$1000=A6))=1,"ĐẠT","LỆCH")</f>
        <v>ĐẠT</v>
      </c>
      <c r="S6" s="12" t="str">
        <f t="shared" si="4"/>
        <v>ĐẠT</v>
      </c>
      <c r="T6" s="12" t="str">
        <f>IF(SUMPRODUCT(--(VE_THANG!$B$2:$B$1000=B6))=1,"ĐẠT","LỆCH")</f>
        <v>ĐẠT</v>
      </c>
      <c r="U6" s="12" t="str">
        <f>IF(AND(SUMPRODUCT(--(THE_XE!$A$2:$A$1000=B6))&gt;0,SUMPRODUCT(--(KHACH_HANG!$A$2:$A$1000=C6))&gt;0),"ĐẠT","LỆCH")</f>
        <v>ĐẠT</v>
      </c>
      <c r="V6" s="12" t="str">
        <f>IF(INDEX(THE_XE!$C$2:$C$1000,MATCH(B6,THE_XE!$A$2:$A$1000,0))="Tháng","ĐẠT","LỆCH")</f>
        <v>ĐẠT</v>
      </c>
      <c r="W6" s="12" t="str">
        <f>IF(I6="ALL","ĐẠT",IF(INDEX(THE_XE!$B$2:$B$1000,MATCH(B6,THE_XE!$A$2:$A$1000,0))=I6,"ĐẠT","LỆCH"))</f>
        <v>ĐẠT</v>
      </c>
      <c r="X6" s="12" t="str">
        <f>IF(I6="ALL","ĐẠT",IF(SUMPRODUCT((LOAI_XE!$A$2:$A$1000=E6)*(LOAI_XE!$B$2:$B$1000=I6))&gt;0,"ĐẠT","LỆCH"))</f>
        <v>ĐẠT</v>
      </c>
      <c r="Y6" s="12" t="str">
        <f t="shared" si="5"/>
        <v>ĐẠT</v>
      </c>
      <c r="Z6" s="12" t="str">
        <f t="shared" si="6"/>
        <v>ĐẠT</v>
      </c>
      <c r="AA6" s="12" t="str">
        <f t="shared" si="7"/>
        <v>ĐẠT</v>
      </c>
    </row>
    <row r="7" spans="1:27" x14ac:dyDescent="0.2">
      <c r="A7" s="16" t="s">
        <v>487</v>
      </c>
      <c r="B7" s="16" t="s">
        <v>402</v>
      </c>
      <c r="C7" s="16" t="s">
        <v>439</v>
      </c>
      <c r="D7" s="16" t="s">
        <v>488</v>
      </c>
      <c r="E7" s="16" t="s">
        <v>280</v>
      </c>
      <c r="F7" s="21">
        <f t="shared" si="0"/>
        <v>46082</v>
      </c>
      <c r="G7" s="21">
        <f>IF(M7&gt;0,_xlfn.MAXIFS(HOA_DON_VE_THANG!$O$2:$O$1000,HOA_DON_VE_THANG!$B$2:$B$1000,A7),F7)</f>
        <v>46447</v>
      </c>
      <c r="H7" s="16" t="s">
        <v>258</v>
      </c>
      <c r="I7" s="16" t="s">
        <v>194</v>
      </c>
      <c r="J7" s="22">
        <v>46082</v>
      </c>
      <c r="K7" s="9"/>
      <c r="L7" s="12" t="str">
        <f>INDEX(KHACH_HANG!$B$2:$B$1000,MATCH(C7,KHACH_HANG!$A$2:$A$1000,0))</f>
        <v>Đỗ Thanh Phong</v>
      </c>
      <c r="M7" s="17">
        <f>SUMIFS(HOA_DON_VE_THANG!$D$2:$D$1000,HOA_DON_VE_THANG!$B$2:$B$1000,A7)</f>
        <v>12</v>
      </c>
      <c r="N7" s="17">
        <f t="shared" si="1"/>
        <v>151</v>
      </c>
      <c r="O7" s="12" t="str">
        <f t="shared" si="2"/>
        <v>Còn hạn an toàn</v>
      </c>
      <c r="P7" s="12" t="str">
        <f t="shared" si="3"/>
        <v/>
      </c>
      <c r="Q7" s="19">
        <f>SUMIFS(LOAI_XE!$E$2:$E$1000,LOAI_XE!$A$2:$A$1000,E7,LOAI_XE!$B$2:$B$1000,IF(I7="ALL",INDEX(THE_XE!$B$2:$B$1000,MATCH(B7,THE_XE!$A$2:$A$1000,0)),I7))</f>
        <v>1600000</v>
      </c>
      <c r="R7" s="12" t="str">
        <f>IF(SUMPRODUCT(--(VE_THANG!$A$2:$A$1000=A7))=1,"ĐẠT","LỆCH")</f>
        <v>ĐẠT</v>
      </c>
      <c r="S7" s="12" t="str">
        <f t="shared" si="4"/>
        <v>ĐẠT</v>
      </c>
      <c r="T7" s="12" t="str">
        <f>IF(SUMPRODUCT(--(VE_THANG!$B$2:$B$1000=B7))=1,"ĐẠT","LỆCH")</f>
        <v>ĐẠT</v>
      </c>
      <c r="U7" s="12" t="str">
        <f>IF(AND(SUMPRODUCT(--(THE_XE!$A$2:$A$1000=B7))&gt;0,SUMPRODUCT(--(KHACH_HANG!$A$2:$A$1000=C7))&gt;0),"ĐẠT","LỆCH")</f>
        <v>ĐẠT</v>
      </c>
      <c r="V7" s="12" t="str">
        <f>IF(INDEX(THE_XE!$C$2:$C$1000,MATCH(B7,THE_XE!$A$2:$A$1000,0))="Tháng","ĐẠT","LỆCH")</f>
        <v>ĐẠT</v>
      </c>
      <c r="W7" s="12" t="str">
        <f>IF(I7="ALL","ĐẠT",IF(INDEX(THE_XE!$B$2:$B$1000,MATCH(B7,THE_XE!$A$2:$A$1000,0))=I7,"ĐẠT","LỆCH"))</f>
        <v>ĐẠT</v>
      </c>
      <c r="X7" s="12" t="str">
        <f>IF(I7="ALL","ĐẠT",IF(SUMPRODUCT((LOAI_XE!$A$2:$A$1000=E7)*(LOAI_XE!$B$2:$B$1000=I7))&gt;0,"ĐẠT","LỆCH"))</f>
        <v>ĐẠT</v>
      </c>
      <c r="Y7" s="12" t="str">
        <f t="shared" si="5"/>
        <v>ĐẠT</v>
      </c>
      <c r="Z7" s="12" t="str">
        <f t="shared" si="6"/>
        <v>ĐẠT</v>
      </c>
      <c r="AA7" s="12" t="str">
        <f t="shared" si="7"/>
        <v>ĐẠT</v>
      </c>
    </row>
    <row r="8" spans="1:27" x14ac:dyDescent="0.2">
      <c r="A8" s="16" t="s">
        <v>489</v>
      </c>
      <c r="B8" s="16" t="s">
        <v>404</v>
      </c>
      <c r="C8" s="16" t="s">
        <v>444</v>
      </c>
      <c r="D8" s="16" t="s">
        <v>490</v>
      </c>
      <c r="E8" s="16" t="s">
        <v>284</v>
      </c>
      <c r="F8" s="21">
        <f t="shared" si="0"/>
        <v>46268</v>
      </c>
      <c r="G8" s="21">
        <f>IF(M8&gt;0,_xlfn.MAXIFS(HOA_DON_VE_THANG!$O$2:$O$1000,HOA_DON_VE_THANG!$B$2:$B$1000,A8),F8)</f>
        <v>46298</v>
      </c>
      <c r="H8" s="16" t="s">
        <v>258</v>
      </c>
      <c r="I8" s="16" t="s">
        <v>194</v>
      </c>
      <c r="J8" s="22"/>
      <c r="K8" s="9">
        <v>28</v>
      </c>
      <c r="L8" s="12" t="str">
        <f>INDEX(KHACH_HANG!$B$2:$B$1000,MATCH(C8,KHACH_HANG!$A$2:$A$1000,0))</f>
        <v>Lý Ngọc Hân</v>
      </c>
      <c r="M8" s="17">
        <f>SUMIFS(HOA_DON_VE_THANG!$D$2:$D$1000,HOA_DON_VE_THANG!$B$2:$B$1000,A8)</f>
        <v>1</v>
      </c>
      <c r="N8" s="17">
        <f t="shared" si="1"/>
        <v>2</v>
      </c>
      <c r="O8" s="12" t="str">
        <f t="shared" si="2"/>
        <v>CẢNH BÁO: Sắp hết hạn trong 2 ngày. Gửi SMS/Email nhắc nộp phí.</v>
      </c>
      <c r="P8" s="12" t="str">
        <f t="shared" si="3"/>
        <v>Có</v>
      </c>
      <c r="Q8" s="19">
        <f>SUMIFS(LOAI_XE!$E$2:$E$1000,LOAI_XE!$A$2:$A$1000,E8,LOAI_XE!$B$2:$B$1000,IF(I8="ALL",INDEX(THE_XE!$B$2:$B$1000,MATCH(B8,THE_XE!$A$2:$A$1000,0)),I8))</f>
        <v>200000</v>
      </c>
      <c r="R8" s="12" t="str">
        <f>IF(SUMPRODUCT(--(VE_THANG!$A$2:$A$1000=A8))=1,"ĐẠT","LỆCH")</f>
        <v>ĐẠT</v>
      </c>
      <c r="S8" s="12" t="str">
        <f t="shared" si="4"/>
        <v>ĐẠT</v>
      </c>
      <c r="T8" s="12" t="str">
        <f>IF(SUMPRODUCT(--(VE_THANG!$B$2:$B$1000=B8))=1,"ĐẠT","LỆCH")</f>
        <v>ĐẠT</v>
      </c>
      <c r="U8" s="12" t="str">
        <f>IF(AND(SUMPRODUCT(--(THE_XE!$A$2:$A$1000=B8))&gt;0,SUMPRODUCT(--(KHACH_HANG!$A$2:$A$1000=C8))&gt;0),"ĐẠT","LỆCH")</f>
        <v>ĐẠT</v>
      </c>
      <c r="V8" s="12" t="str">
        <f>IF(INDEX(THE_XE!$C$2:$C$1000,MATCH(B8,THE_XE!$A$2:$A$1000,0))="Tháng","ĐẠT","LỆCH")</f>
        <v>ĐẠT</v>
      </c>
      <c r="W8" s="12" t="str">
        <f>IF(I8="ALL","ĐẠT",IF(INDEX(THE_XE!$B$2:$B$1000,MATCH(B8,THE_XE!$A$2:$A$1000,0))=I8,"ĐẠT","LỆCH"))</f>
        <v>ĐẠT</v>
      </c>
      <c r="X8" s="12" t="str">
        <f>IF(I8="ALL","ĐẠT",IF(SUMPRODUCT((LOAI_XE!$A$2:$A$1000=E8)*(LOAI_XE!$B$2:$B$1000=I8))&gt;0,"ĐẠT","LỆCH"))</f>
        <v>ĐẠT</v>
      </c>
      <c r="Y8" s="12" t="str">
        <f t="shared" si="5"/>
        <v>ĐẠT</v>
      </c>
      <c r="Z8" s="12" t="str">
        <f t="shared" si="6"/>
        <v>ĐẠT</v>
      </c>
      <c r="AA8" s="12" t="str">
        <f t="shared" si="7"/>
        <v>ĐẠT</v>
      </c>
    </row>
    <row r="9" spans="1:27" x14ac:dyDescent="0.2">
      <c r="A9" s="16" t="s">
        <v>491</v>
      </c>
      <c r="B9" s="16" t="s">
        <v>407</v>
      </c>
      <c r="C9" s="16" t="s">
        <v>449</v>
      </c>
      <c r="D9" s="16" t="s">
        <v>492</v>
      </c>
      <c r="E9" s="16" t="s">
        <v>284</v>
      </c>
      <c r="F9" s="21">
        <f t="shared" si="0"/>
        <v>46037</v>
      </c>
      <c r="G9" s="21">
        <f>IF(M9&gt;0,_xlfn.MAXIFS(HOA_DON_VE_THANG!$O$2:$O$1000,HOA_DON_VE_THANG!$B$2:$B$1000,A9),F9)</f>
        <v>46218</v>
      </c>
      <c r="H9" s="16" t="s">
        <v>481</v>
      </c>
      <c r="I9" s="16" t="s">
        <v>191</v>
      </c>
      <c r="J9" s="22">
        <v>46037</v>
      </c>
      <c r="K9" s="9"/>
      <c r="L9" s="12" t="str">
        <f>INDEX(KHACH_HANG!$B$2:$B$1000,MATCH(C9,KHACH_HANG!$A$2:$A$1000,0))</f>
        <v>Châu Minh Khang</v>
      </c>
      <c r="M9" s="17">
        <f>SUMIFS(HOA_DON_VE_THANG!$D$2:$D$1000,HOA_DON_VE_THANG!$B$2:$B$1000,A9)</f>
        <v>6</v>
      </c>
      <c r="N9" s="17">
        <f t="shared" si="1"/>
        <v>-78</v>
      </c>
      <c r="O9" s="12" t="str">
        <f t="shared" si="2"/>
        <v>ĐÃ QUÁ HẠN: Tự động khóa thẻ và đổi trạng thái hết hạn</v>
      </c>
      <c r="P9" s="12" t="str">
        <f t="shared" si="3"/>
        <v>Có</v>
      </c>
      <c r="Q9" s="19">
        <f>SUMIFS(LOAI_XE!$E$2:$E$1000,LOAI_XE!$A$2:$A$1000,E9,LOAI_XE!$B$2:$B$1000,IF(I9="ALL",INDEX(THE_XE!$B$2:$B$1000,MATCH(B9,THE_XE!$A$2:$A$1000,0)),I9))</f>
        <v>170000</v>
      </c>
      <c r="R9" s="12" t="str">
        <f>IF(SUMPRODUCT(--(VE_THANG!$A$2:$A$1000=A9))=1,"ĐẠT","LỆCH")</f>
        <v>ĐẠT</v>
      </c>
      <c r="S9" s="12" t="str">
        <f t="shared" si="4"/>
        <v>ĐẠT</v>
      </c>
      <c r="T9" s="12" t="str">
        <f>IF(SUMPRODUCT(--(VE_THANG!$B$2:$B$1000=B9))=1,"ĐẠT","LỆCH")</f>
        <v>ĐẠT</v>
      </c>
      <c r="U9" s="12" t="str">
        <f>IF(AND(SUMPRODUCT(--(THE_XE!$A$2:$A$1000=B9))&gt;0,SUMPRODUCT(--(KHACH_HANG!$A$2:$A$1000=C9))&gt;0),"ĐẠT","LỆCH")</f>
        <v>ĐẠT</v>
      </c>
      <c r="V9" s="12" t="str">
        <f>IF(INDEX(THE_XE!$C$2:$C$1000,MATCH(B9,THE_XE!$A$2:$A$1000,0))="Tháng","ĐẠT","LỆCH")</f>
        <v>ĐẠT</v>
      </c>
      <c r="W9" s="12" t="str">
        <f>IF(I9="ALL","ĐẠT",IF(INDEX(THE_XE!$B$2:$B$1000,MATCH(B9,THE_XE!$A$2:$A$1000,0))=I9,"ĐẠT","LỆCH"))</f>
        <v>ĐẠT</v>
      </c>
      <c r="X9" s="12" t="str">
        <f>IF(I9="ALL","ĐẠT",IF(SUMPRODUCT((LOAI_XE!$A$2:$A$1000=E9)*(LOAI_XE!$B$2:$B$1000=I9))&gt;0,"ĐẠT","LỆCH"))</f>
        <v>ĐẠT</v>
      </c>
      <c r="Y9" s="12" t="str">
        <f t="shared" si="5"/>
        <v>ĐẠT</v>
      </c>
      <c r="Z9" s="12" t="str">
        <f t="shared" si="6"/>
        <v>ĐẠT</v>
      </c>
      <c r="AA9" s="12" t="str">
        <f t="shared" si="7"/>
        <v>ĐẠT</v>
      </c>
    </row>
    <row r="10" spans="1:27" x14ac:dyDescent="0.2">
      <c r="A10" s="16" t="s">
        <v>493</v>
      </c>
      <c r="B10" s="16" t="s">
        <v>409</v>
      </c>
      <c r="C10" s="16" t="s">
        <v>454</v>
      </c>
      <c r="D10" s="16" t="s">
        <v>494</v>
      </c>
      <c r="E10" s="16" t="s">
        <v>280</v>
      </c>
      <c r="F10" s="21">
        <f t="shared" si="0"/>
        <v>46174</v>
      </c>
      <c r="G10" s="21">
        <f>IF(M10&gt;0,_xlfn.MAXIFS(HOA_DON_VE_THANG!$O$2:$O$1000,HOA_DON_VE_THANG!$B$2:$B$1000,A10),F10)</f>
        <v>46357</v>
      </c>
      <c r="H10" s="16" t="s">
        <v>258</v>
      </c>
      <c r="I10" s="16" t="s">
        <v>191</v>
      </c>
      <c r="J10" s="22">
        <v>46174</v>
      </c>
      <c r="K10" s="9"/>
      <c r="L10" s="12" t="str">
        <f>INDEX(KHACH_HANG!$B$2:$B$1000,MATCH(C10,KHACH_HANG!$A$2:$A$1000,0))</f>
        <v>Tạ Thị Kim Oanh</v>
      </c>
      <c r="M10" s="17">
        <f>SUMIFS(HOA_DON_VE_THANG!$D$2:$D$1000,HOA_DON_VE_THANG!$B$2:$B$1000,A10)</f>
        <v>6</v>
      </c>
      <c r="N10" s="17">
        <f t="shared" si="1"/>
        <v>61</v>
      </c>
      <c r="O10" s="12" t="str">
        <f t="shared" si="2"/>
        <v>Còn hạn an toàn</v>
      </c>
      <c r="P10" s="12" t="str">
        <f t="shared" si="3"/>
        <v/>
      </c>
      <c r="Q10" s="19">
        <f>SUMIFS(LOAI_XE!$E$2:$E$1000,LOAI_XE!$A$2:$A$1000,E10,LOAI_XE!$B$2:$B$1000,IF(I10="ALL",INDEX(THE_XE!$B$2:$B$1000,MATCH(B10,THE_XE!$A$2:$A$1000,0)),I10))</f>
        <v>1700000</v>
      </c>
      <c r="R10" s="12" t="str">
        <f>IF(SUMPRODUCT(--(VE_THANG!$A$2:$A$1000=A10))=1,"ĐẠT","LỆCH")</f>
        <v>ĐẠT</v>
      </c>
      <c r="S10" s="12" t="str">
        <f t="shared" si="4"/>
        <v>ĐẠT</v>
      </c>
      <c r="T10" s="12" t="str">
        <f>IF(SUMPRODUCT(--(VE_THANG!$B$2:$B$1000=B10))=1,"ĐẠT","LỆCH")</f>
        <v>ĐẠT</v>
      </c>
      <c r="U10" s="12" t="str">
        <f>IF(AND(SUMPRODUCT(--(THE_XE!$A$2:$A$1000=B10))&gt;0,SUMPRODUCT(--(KHACH_HANG!$A$2:$A$1000=C10))&gt;0),"ĐẠT","LỆCH")</f>
        <v>ĐẠT</v>
      </c>
      <c r="V10" s="12" t="str">
        <f>IF(INDEX(THE_XE!$C$2:$C$1000,MATCH(B10,THE_XE!$A$2:$A$1000,0))="Tháng","ĐẠT","LỆCH")</f>
        <v>ĐẠT</v>
      </c>
      <c r="W10" s="12" t="str">
        <f>IF(I10="ALL","ĐẠT",IF(INDEX(THE_XE!$B$2:$B$1000,MATCH(B10,THE_XE!$A$2:$A$1000,0))=I10,"ĐẠT","LỆCH"))</f>
        <v>ĐẠT</v>
      </c>
      <c r="X10" s="12" t="str">
        <f>IF(I10="ALL","ĐẠT",IF(SUMPRODUCT((LOAI_XE!$A$2:$A$1000=E10)*(LOAI_XE!$B$2:$B$1000=I10))&gt;0,"ĐẠT","LỆCH"))</f>
        <v>ĐẠT</v>
      </c>
      <c r="Y10" s="12" t="str">
        <f t="shared" si="5"/>
        <v>ĐẠT</v>
      </c>
      <c r="Z10" s="12" t="str">
        <f t="shared" si="6"/>
        <v>ĐẠT</v>
      </c>
      <c r="AA10" s="12" t="str">
        <f t="shared" si="7"/>
        <v>ĐẠT</v>
      </c>
    </row>
    <row r="11" spans="1:27" x14ac:dyDescent="0.2">
      <c r="A11" s="16" t="s">
        <v>495</v>
      </c>
      <c r="B11" s="16" t="s">
        <v>399</v>
      </c>
      <c r="C11" s="16" t="s">
        <v>459</v>
      </c>
      <c r="D11" s="16" t="s">
        <v>496</v>
      </c>
      <c r="E11" s="16" t="s">
        <v>280</v>
      </c>
      <c r="F11" s="21">
        <f t="shared" si="0"/>
        <v>46028</v>
      </c>
      <c r="G11" s="21">
        <f>IF(M11&gt;0,_xlfn.MAXIFS(HOA_DON_VE_THANG!$O$2:$O$1000,HOA_DON_VE_THANG!$B$2:$B$1000,A11),F11)</f>
        <v>46393</v>
      </c>
      <c r="H11" s="16" t="s">
        <v>258</v>
      </c>
      <c r="I11" s="16" t="s">
        <v>182</v>
      </c>
      <c r="J11" s="22">
        <v>46028</v>
      </c>
      <c r="K11" s="9"/>
      <c r="L11" s="12" t="str">
        <f>INDEX(KHACH_HANG!$B$2:$B$1000,MATCH(C11,KHACH_HANG!$A$2:$A$1000,0))</f>
        <v>Phan Gia Huy</v>
      </c>
      <c r="M11" s="17">
        <f>SUMIFS(HOA_DON_VE_THANG!$D$2:$D$1000,HOA_DON_VE_THANG!$B$2:$B$1000,A11)</f>
        <v>12</v>
      </c>
      <c r="N11" s="17">
        <f t="shared" si="1"/>
        <v>97</v>
      </c>
      <c r="O11" s="12" t="str">
        <f t="shared" si="2"/>
        <v>Còn hạn an toàn</v>
      </c>
      <c r="P11" s="12" t="str">
        <f t="shared" si="3"/>
        <v/>
      </c>
      <c r="Q11" s="19">
        <f>SUMIFS(LOAI_XE!$E$2:$E$1000,LOAI_XE!$A$2:$A$1000,E11,LOAI_XE!$B$2:$B$1000,IF(I11="ALL",INDEX(THE_XE!$B$2:$B$1000,MATCH(B11,THE_XE!$A$2:$A$1000,0)),I11))</f>
        <v>2200000</v>
      </c>
      <c r="R11" s="12" t="str">
        <f>IF(SUMPRODUCT(--(VE_THANG!$A$2:$A$1000=A11))=1,"ĐẠT","LỆCH")</f>
        <v>ĐẠT</v>
      </c>
      <c r="S11" s="12" t="str">
        <f t="shared" si="4"/>
        <v>ĐẠT</v>
      </c>
      <c r="T11" s="12" t="str">
        <f>IF(SUMPRODUCT(--(VE_THANG!$B$2:$B$1000=B11))=1,"ĐẠT","LỆCH")</f>
        <v>ĐẠT</v>
      </c>
      <c r="U11" s="12" t="str">
        <f>IF(AND(SUMPRODUCT(--(THE_XE!$A$2:$A$1000=B11))&gt;0,SUMPRODUCT(--(KHACH_HANG!$A$2:$A$1000=C11))&gt;0),"ĐẠT","LỆCH")</f>
        <v>ĐẠT</v>
      </c>
      <c r="V11" s="12" t="str">
        <f>IF(INDEX(THE_XE!$C$2:$C$1000,MATCH(B11,THE_XE!$A$2:$A$1000,0))="Tháng","ĐẠT","LỆCH")</f>
        <v>ĐẠT</v>
      </c>
      <c r="W11" s="12" t="str">
        <f>IF(I11="ALL","ĐẠT",IF(INDEX(THE_XE!$B$2:$B$1000,MATCH(B11,THE_XE!$A$2:$A$1000,0))=I11,"ĐẠT","LỆCH"))</f>
        <v>ĐẠT</v>
      </c>
      <c r="X11" s="12" t="str">
        <f>IF(I11="ALL","ĐẠT",IF(SUMPRODUCT((LOAI_XE!$A$2:$A$1000=E11)*(LOAI_XE!$B$2:$B$1000=I11))&gt;0,"ĐẠT","LỆCH"))</f>
        <v>ĐẠT</v>
      </c>
      <c r="Y11" s="12" t="str">
        <f t="shared" si="5"/>
        <v>ĐẠT</v>
      </c>
      <c r="Z11" s="12" t="str">
        <f t="shared" si="6"/>
        <v>ĐẠT</v>
      </c>
      <c r="AA11" s="12" t="str">
        <f t="shared" si="7"/>
        <v>ĐẠT</v>
      </c>
    </row>
  </sheetData>
  <autoFilter ref="A1:AA11" xr:uid="{00000000-0009-0000-0000-00000B000000}"/>
  <conditionalFormatting sqref="R2:AA1000">
    <cfRule type="cellIs" dxfId="7" priority="2" operator="equal">
      <formula>"LỆCH"</formula>
    </cfRule>
    <cfRule type="cellIs" dxfId="6" priority="3" operator="equal">
      <formula>"ĐẠT"</formula>
    </cfRule>
  </conditionalFormatting>
  <dataValidations count="4">
    <dataValidation type="textLength" operator="lessThanOrEqual" showErrorMessage="1" errorTitle="Dữ liệu không hợp lệ" error="Tối đa 10 ký tự (VARCHAR/NVARCHAR(10))" sqref="A2:A1000" xr:uid="{00000000-0002-0000-0B00-000000000000}">
      <formula1>10</formula1>
      <formula2>0</formula2>
    </dataValidation>
    <dataValidation type="textLength" operator="lessThanOrEqual" showErrorMessage="1" errorTitle="Dữ liệu không hợp lệ" error="Tối đa 15 ký tự (VARCHAR/NVARCHAR(15))" sqref="D2:D1000" xr:uid="{00000000-0002-0000-0B00-000001000000}">
      <formula1>15</formula1>
      <formula2>0</formula2>
    </dataValidation>
    <dataValidation type="list" showErrorMessage="1" errorTitle="Dữ liệu không hợp lệ" error="Chỉ chọn: Hoạt động, Tạm khóa, Hết hạn" sqref="H2:H1000" xr:uid="{00000000-0002-0000-0B00-000002000000}">
      <formula1>"Hoạt động,Tạm khóa,Hết hạn"</formula1>
      <formula2>0</formula2>
    </dataValidation>
    <dataValidation type="whole" operator="greaterThan" allowBlank="1" showErrorMessage="1" errorTitle="Dữ liệu không hợp lệ" error="Phải là số &gt; 0" sqref="K2:K1000" xr:uid="{00000000-0002-0000-0B00-000007000000}">
      <formula1>0</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4">
        <x14:dataValidation type="list" showErrorMessage="1" errorTitle="Dữ liệu không hợp lệ" error="Giá trị phải tồn tại ở THE_XE.MaThe" xr:uid="{00000000-0002-0000-0B00-000003000000}">
          <x14:formula1>
            <xm:f>THE_XE!$A$2:$A$1000</xm:f>
          </x14:formula1>
          <x14:formula2>
            <xm:f>0</xm:f>
          </x14:formula2>
          <xm:sqref>B2:B1000</xm:sqref>
        </x14:dataValidation>
        <x14:dataValidation type="list" showErrorMessage="1" errorTitle="Dữ liệu không hợp lệ" error="Giá trị phải tồn tại ở KHACH_HANG.MaKH" xr:uid="{00000000-0002-0000-0B00-000004000000}">
          <x14:formula1>
            <xm:f>KHACH_HANG!$A$2:$A$1000</xm:f>
          </x14:formula1>
          <x14:formula2>
            <xm:f>0</xm:f>
          </x14:formula2>
          <xm:sqref>C2:C1000</xm:sqref>
        </x14:dataValidation>
        <x14:dataValidation type="list" showErrorMessage="1" errorTitle="Dữ liệu không hợp lệ" error="Giá trị phải tồn tại ở LOAI_XE.MaLoaiXe" xr:uid="{00000000-0002-0000-0B00-000005000000}">
          <x14:formula1>
            <xm:f>LOAI_XE!$A$2:$A$1000</xm:f>
          </x14:formula1>
          <x14:formula2>
            <xm:f>0</xm:f>
          </x14:formula2>
          <xm:sqref>E2:E1000</xm:sqref>
        </x14:dataValidation>
        <x14:dataValidation type="custom" showErrorMessage="1" errorTitle="Dữ liệu không hợp lệ" error="Mã bãi tồn tại hoặc ALL" xr:uid="{00000000-0002-0000-0B00-000006000000}">
          <x14:formula1>
            <xm:f>OR(I2="ALL",COUNTIF(BAI_DO_XE!$A$2:$A$1000,I2)&gt;0)</xm:f>
          </x14:formula1>
          <x14:formula2>
            <xm:f>0</xm:f>
          </x14:formula2>
          <xm:sqref>I2:I1000</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11"/>
  <sheetViews>
    <sheetView zoomScaleNormal="100" workbookViewId="0">
      <pane xSplit="1" ySplit="1" topLeftCell="C12" activePane="bottomRight" state="frozen"/>
      <selection pane="topRight" activeCell="B1" sqref="B1"/>
      <selection pane="bottomLeft" activeCell="A2" sqref="A2"/>
      <selection pane="bottomRight"/>
    </sheetView>
  </sheetViews>
  <sheetFormatPr baseColWidth="10" defaultColWidth="8.5" defaultRowHeight="15" x14ac:dyDescent="0.2"/>
  <cols>
    <col min="1" max="2" width="12" customWidth="1"/>
    <col min="3" max="4" width="17" customWidth="1"/>
    <col min="5" max="7" width="12" customWidth="1"/>
    <col min="8" max="8" width="23" customWidth="1"/>
    <col min="9" max="9" width="25" customWidth="1"/>
    <col min="10" max="10" width="12" customWidth="1"/>
    <col min="11" max="11" width="17" customWidth="1"/>
    <col min="12" max="12" width="16" customWidth="1"/>
    <col min="13" max="13" width="15" customWidth="1"/>
    <col min="14" max="14" width="12" customWidth="1"/>
    <col min="15" max="15" width="13" customWidth="1"/>
    <col min="16" max="17" width="12" customWidth="1"/>
    <col min="18" max="18" width="19" customWidth="1"/>
    <col min="19" max="19" width="17" customWidth="1"/>
    <col min="20" max="20" width="13" customWidth="1"/>
  </cols>
  <sheetData>
    <row r="1" spans="1:20" ht="33.75" customHeight="1" x14ac:dyDescent="0.2">
      <c r="A1" s="14" t="s">
        <v>497</v>
      </c>
      <c r="B1" s="13" t="s">
        <v>378</v>
      </c>
      <c r="C1" s="14" t="s">
        <v>498</v>
      </c>
      <c r="D1" s="13" t="s">
        <v>499</v>
      </c>
      <c r="E1" s="14" t="s">
        <v>500</v>
      </c>
      <c r="F1" s="13" t="s">
        <v>170</v>
      </c>
      <c r="G1" s="20" t="s">
        <v>501</v>
      </c>
      <c r="H1" s="20" t="s">
        <v>502</v>
      </c>
      <c r="I1" s="20" t="s">
        <v>503</v>
      </c>
      <c r="J1" s="15" t="s">
        <v>274</v>
      </c>
      <c r="K1" s="15" t="s">
        <v>381</v>
      </c>
      <c r="L1" s="15" t="s">
        <v>504</v>
      </c>
      <c r="M1" s="15" t="s">
        <v>505</v>
      </c>
      <c r="N1" s="15" t="s">
        <v>506</v>
      </c>
      <c r="O1" s="15" t="s">
        <v>507</v>
      </c>
      <c r="P1" s="15" t="s">
        <v>56</v>
      </c>
      <c r="Q1" s="15" t="s">
        <v>121</v>
      </c>
      <c r="R1" s="15" t="s">
        <v>138</v>
      </c>
      <c r="S1" s="15" t="s">
        <v>140</v>
      </c>
      <c r="T1" s="15" t="s">
        <v>142</v>
      </c>
    </row>
    <row r="2" spans="1:20" x14ac:dyDescent="0.2">
      <c r="A2" s="12" t="str">
        <f t="shared" ref="A2:A11" si="0">"HD"&amp;TEXT(C2,"yyyymmdd")&amp;TEXT(G2,"000")</f>
        <v>HD20260101001</v>
      </c>
      <c r="B2" s="16" t="s">
        <v>475</v>
      </c>
      <c r="C2" s="23">
        <f t="shared" ref="C2:C11" si="1">IF(LEN(I2)&gt;0,INT(ThoiDiemNap)-I2,H2)</f>
        <v>46023</v>
      </c>
      <c r="D2" s="9">
        <v>12</v>
      </c>
      <c r="E2" s="19">
        <f t="shared" ref="E2:E11" si="2">D2*M2</f>
        <v>2160000</v>
      </c>
      <c r="F2" s="16" t="s">
        <v>185</v>
      </c>
      <c r="G2" s="24">
        <v>1</v>
      </c>
      <c r="H2" s="6">
        <v>46023</v>
      </c>
      <c r="I2" s="9"/>
      <c r="J2" s="12" t="str">
        <f>INDEX(VE_THANG!$E$2:$E$1000,MATCH(B2,VE_THANG!$A$2:$A$1000,0))</f>
        <v>XM</v>
      </c>
      <c r="K2" s="12" t="str">
        <f>INDEX(VE_THANG!$I$2:$I$1000,MATCH(B2,VE_THANG!$A$2:$A$1000,0))</f>
        <v>BAI_Q1</v>
      </c>
      <c r="L2" s="12" t="str">
        <f t="shared" ref="L2:L11" si="3">IF(K2="ALL",F2,K2)</f>
        <v>BAI_Q1</v>
      </c>
      <c r="M2" s="19">
        <f>SUMIFS(LOAI_XE!$E$2:$E$1000,LOAI_XE!$A$2:$A$1000,J2,LOAI_XE!$B$2:$B$1000,L2)</f>
        <v>180000</v>
      </c>
      <c r="N2" s="21">
        <f>IF(B2=B1,MAX(O1,INT(C2)),INDEX(VE_THANG!$F$2:$F$1000,MATCH(B2,VE_THANG!$A$2:$A$1000,0)))</f>
        <v>46023</v>
      </c>
      <c r="O2" s="21">
        <f t="shared" ref="O2:O11" si="4">EDATE(N2,D2)</f>
        <v>46388</v>
      </c>
      <c r="P2" s="12" t="str">
        <f>IF(SUMPRODUCT(--(HOA_DON_VE_THANG!$A$2:$A$1000=A2))=1,"ĐẠT","LỆCH")</f>
        <v>ĐẠT</v>
      </c>
      <c r="Q2" s="12" t="str">
        <f>IF(AND(SUMPRODUCT(--(VE_THANG!$A$2:$A$1000=B2))&gt;0,SUMPRODUCT(--(BAI_DO_XE!$A$2:$A$1000=F2))&gt;0),"ĐẠT","LỆCH")</f>
        <v>ĐẠT</v>
      </c>
      <c r="R2" s="12" t="str">
        <f t="shared" ref="R2:R11" si="5">IF(AND(D2&gt;0,E2&gt;0),"ĐẠT","LỆCH")</f>
        <v>ĐẠT</v>
      </c>
      <c r="S2" s="12" t="str">
        <f t="shared" ref="S2:S11" si="6">IF(K2="ALL","ĐẠT",IF(F2=K2,"ĐẠT","LỆCH"))</f>
        <v>ĐẠT</v>
      </c>
      <c r="T2" s="12" t="str">
        <f>"ĐẠT"</f>
        <v>ĐẠT</v>
      </c>
    </row>
    <row r="3" spans="1:20" x14ac:dyDescent="0.2">
      <c r="A3" s="12" t="str">
        <f t="shared" si="0"/>
        <v>HD20260110002</v>
      </c>
      <c r="B3" s="16" t="s">
        <v>477</v>
      </c>
      <c r="C3" s="23">
        <f t="shared" si="1"/>
        <v>46032</v>
      </c>
      <c r="D3" s="9">
        <v>9</v>
      </c>
      <c r="E3" s="19">
        <f t="shared" si="2"/>
        <v>16200000</v>
      </c>
      <c r="F3" s="16" t="s">
        <v>185</v>
      </c>
      <c r="G3" s="24">
        <v>2</v>
      </c>
      <c r="H3" s="6">
        <v>46032</v>
      </c>
      <c r="I3" s="9"/>
      <c r="J3" s="12" t="str">
        <f>INDEX(VE_THANG!$E$2:$E$1000,MATCH(B3,VE_THANG!$A$2:$A$1000,0))</f>
        <v>OT</v>
      </c>
      <c r="K3" s="12" t="str">
        <f>INDEX(VE_THANG!$I$2:$I$1000,MATCH(B3,VE_THANG!$A$2:$A$1000,0))</f>
        <v>BAI_Q1</v>
      </c>
      <c r="L3" s="12" t="str">
        <f t="shared" si="3"/>
        <v>BAI_Q1</v>
      </c>
      <c r="M3" s="19">
        <f>SUMIFS(LOAI_XE!$E$2:$E$1000,LOAI_XE!$A$2:$A$1000,J3,LOAI_XE!$B$2:$B$1000,L3)</f>
        <v>1800000</v>
      </c>
      <c r="N3" s="21">
        <f>IF(B3=B2,MAX(O2,INT(C3)),INDEX(VE_THANG!$F$2:$F$1000,MATCH(B3,VE_THANG!$A$2:$A$1000,0)))</f>
        <v>46032</v>
      </c>
      <c r="O3" s="21">
        <f t="shared" si="4"/>
        <v>46305</v>
      </c>
      <c r="P3" s="12" t="str">
        <f>IF(SUMPRODUCT(--(HOA_DON_VE_THANG!$A$2:$A$1000=A3))=1,"ĐẠT","LỆCH")</f>
        <v>ĐẠT</v>
      </c>
      <c r="Q3" s="12" t="str">
        <f>IF(AND(SUMPRODUCT(--(VE_THANG!$A$2:$A$1000=B3))&gt;0,SUMPRODUCT(--(BAI_DO_XE!$A$2:$A$1000=F3))&gt;0),"ĐẠT","LỆCH")</f>
        <v>ĐẠT</v>
      </c>
      <c r="R3" s="12" t="str">
        <f t="shared" si="5"/>
        <v>ĐẠT</v>
      </c>
      <c r="S3" s="12" t="str">
        <f t="shared" si="6"/>
        <v>ĐẠT</v>
      </c>
      <c r="T3" s="12" t="str">
        <f t="shared" ref="T3:T11" si="7">IF(OR(B3&lt;&gt;B2,C3&gt;=C2),"ĐẠT","LỆCH")</f>
        <v>ĐẠT</v>
      </c>
    </row>
    <row r="4" spans="1:20" x14ac:dyDescent="0.2">
      <c r="A4" s="12" t="str">
        <f t="shared" si="0"/>
        <v>HD20260103003</v>
      </c>
      <c r="B4" s="16" t="s">
        <v>479</v>
      </c>
      <c r="C4" s="23">
        <f t="shared" si="1"/>
        <v>46025</v>
      </c>
      <c r="D4" s="9">
        <v>1</v>
      </c>
      <c r="E4" s="19">
        <f t="shared" si="2"/>
        <v>150000</v>
      </c>
      <c r="F4" s="16" t="s">
        <v>188</v>
      </c>
      <c r="G4" s="24">
        <v>3</v>
      </c>
      <c r="H4" s="6">
        <v>46025</v>
      </c>
      <c r="I4" s="9"/>
      <c r="J4" s="12" t="str">
        <f>INDEX(VE_THANG!$E$2:$E$1000,MATCH(B4,VE_THANG!$A$2:$A$1000,0))</f>
        <v>XM</v>
      </c>
      <c r="K4" s="12" t="str">
        <f>INDEX(VE_THANG!$I$2:$I$1000,MATCH(B4,VE_THANG!$A$2:$A$1000,0))</f>
        <v>BAI_Q3</v>
      </c>
      <c r="L4" s="12" t="str">
        <f t="shared" si="3"/>
        <v>BAI_Q3</v>
      </c>
      <c r="M4" s="19">
        <f>SUMIFS(LOAI_XE!$E$2:$E$1000,LOAI_XE!$A$2:$A$1000,J4,LOAI_XE!$B$2:$B$1000,L4)</f>
        <v>150000</v>
      </c>
      <c r="N4" s="21">
        <f>IF(B4=B3,MAX(O3,INT(C4)),INDEX(VE_THANG!$F$2:$F$1000,MATCH(B4,VE_THANG!$A$2:$A$1000,0)))</f>
        <v>46025</v>
      </c>
      <c r="O4" s="21">
        <f t="shared" si="4"/>
        <v>46056</v>
      </c>
      <c r="P4" s="12" t="str">
        <f>IF(SUMPRODUCT(--(HOA_DON_VE_THANG!$A$2:$A$1000=A4))=1,"ĐẠT","LỆCH")</f>
        <v>ĐẠT</v>
      </c>
      <c r="Q4" s="12" t="str">
        <f>IF(AND(SUMPRODUCT(--(VE_THANG!$A$2:$A$1000=B4))&gt;0,SUMPRODUCT(--(BAI_DO_XE!$A$2:$A$1000=F4))&gt;0),"ĐẠT","LỆCH")</f>
        <v>ĐẠT</v>
      </c>
      <c r="R4" s="12" t="str">
        <f t="shared" si="5"/>
        <v>ĐẠT</v>
      </c>
      <c r="S4" s="12" t="str">
        <f t="shared" si="6"/>
        <v>ĐẠT</v>
      </c>
      <c r="T4" s="12" t="str">
        <f t="shared" si="7"/>
        <v>ĐẠT</v>
      </c>
    </row>
    <row r="5" spans="1:20" x14ac:dyDescent="0.2">
      <c r="A5" s="12" t="str">
        <f t="shared" si="0"/>
        <v>HD20260108004</v>
      </c>
      <c r="B5" s="16" t="s">
        <v>482</v>
      </c>
      <c r="C5" s="23">
        <f t="shared" si="1"/>
        <v>46030</v>
      </c>
      <c r="D5" s="9">
        <v>10</v>
      </c>
      <c r="E5" s="19">
        <f t="shared" si="2"/>
        <v>15000000</v>
      </c>
      <c r="F5" s="16" t="s">
        <v>188</v>
      </c>
      <c r="G5" s="24">
        <v>4</v>
      </c>
      <c r="H5" s="6">
        <v>46030</v>
      </c>
      <c r="I5" s="9"/>
      <c r="J5" s="12" t="str">
        <f>INDEX(VE_THANG!$E$2:$E$1000,MATCH(B5,VE_THANG!$A$2:$A$1000,0))</f>
        <v>OT</v>
      </c>
      <c r="K5" s="12" t="str">
        <f>INDEX(VE_THANG!$I$2:$I$1000,MATCH(B5,VE_THANG!$A$2:$A$1000,0))</f>
        <v>ALL</v>
      </c>
      <c r="L5" s="12" t="str">
        <f t="shared" si="3"/>
        <v>BAI_Q3</v>
      </c>
      <c r="M5" s="19">
        <f>SUMIFS(LOAI_XE!$E$2:$E$1000,LOAI_XE!$A$2:$A$1000,J5,LOAI_XE!$B$2:$B$1000,L5)</f>
        <v>1500000</v>
      </c>
      <c r="N5" s="21">
        <f>IF(B5=B4,MAX(O4,INT(C5)),INDEX(VE_THANG!$F$2:$F$1000,MATCH(B5,VE_THANG!$A$2:$A$1000,0)))</f>
        <v>46030</v>
      </c>
      <c r="O5" s="21">
        <f t="shared" si="4"/>
        <v>46334</v>
      </c>
      <c r="P5" s="12" t="str">
        <f>IF(SUMPRODUCT(--(HOA_DON_VE_THANG!$A$2:$A$1000=A5))=1,"ĐẠT","LỆCH")</f>
        <v>ĐẠT</v>
      </c>
      <c r="Q5" s="12" t="str">
        <f>IF(AND(SUMPRODUCT(--(VE_THANG!$A$2:$A$1000=B5))&gt;0,SUMPRODUCT(--(BAI_DO_XE!$A$2:$A$1000=F5))&gt;0),"ĐẠT","LỆCH")</f>
        <v>ĐẠT</v>
      </c>
      <c r="R5" s="12" t="str">
        <f t="shared" si="5"/>
        <v>ĐẠT</v>
      </c>
      <c r="S5" s="12" t="str">
        <f t="shared" si="6"/>
        <v>ĐẠT</v>
      </c>
      <c r="T5" s="12" t="str">
        <f t="shared" si="7"/>
        <v>ĐẠT</v>
      </c>
    </row>
    <row r="6" spans="1:20" x14ac:dyDescent="0.2">
      <c r="A6" s="12" t="str">
        <f t="shared" si="0"/>
        <v>HD20260102005</v>
      </c>
      <c r="B6" s="16" t="s">
        <v>485</v>
      </c>
      <c r="C6" s="23">
        <f t="shared" si="1"/>
        <v>46024</v>
      </c>
      <c r="D6" s="9">
        <v>12</v>
      </c>
      <c r="E6" s="19">
        <f t="shared" si="2"/>
        <v>2400000</v>
      </c>
      <c r="F6" s="16" t="s">
        <v>182</v>
      </c>
      <c r="G6" s="24">
        <v>5</v>
      </c>
      <c r="H6" s="6">
        <v>46024</v>
      </c>
      <c r="I6" s="9"/>
      <c r="J6" s="12" t="str">
        <f>INDEX(VE_THANG!$E$2:$E$1000,MATCH(B6,VE_THANG!$A$2:$A$1000,0))</f>
        <v>XM</v>
      </c>
      <c r="K6" s="12" t="str">
        <f>INDEX(VE_THANG!$I$2:$I$1000,MATCH(B6,VE_THANG!$A$2:$A$1000,0))</f>
        <v>BAI_BT</v>
      </c>
      <c r="L6" s="12" t="str">
        <f t="shared" si="3"/>
        <v>BAI_BT</v>
      </c>
      <c r="M6" s="19">
        <f>SUMIFS(LOAI_XE!$E$2:$E$1000,LOAI_XE!$A$2:$A$1000,J6,LOAI_XE!$B$2:$B$1000,L6)</f>
        <v>200000</v>
      </c>
      <c r="N6" s="21">
        <f>IF(B6=B5,MAX(O5,INT(C6)),INDEX(VE_THANG!$F$2:$F$1000,MATCH(B6,VE_THANG!$A$2:$A$1000,0)))</f>
        <v>46024</v>
      </c>
      <c r="O6" s="21">
        <f t="shared" si="4"/>
        <v>46389</v>
      </c>
      <c r="P6" s="12" t="str">
        <f>IF(SUMPRODUCT(--(HOA_DON_VE_THANG!$A$2:$A$1000=A6))=1,"ĐẠT","LỆCH")</f>
        <v>ĐẠT</v>
      </c>
      <c r="Q6" s="12" t="str">
        <f>IF(AND(SUMPRODUCT(--(VE_THANG!$A$2:$A$1000=B6))&gt;0,SUMPRODUCT(--(BAI_DO_XE!$A$2:$A$1000=F6))&gt;0),"ĐẠT","LỆCH")</f>
        <v>ĐẠT</v>
      </c>
      <c r="R6" s="12" t="str">
        <f t="shared" si="5"/>
        <v>ĐẠT</v>
      </c>
      <c r="S6" s="12" t="str">
        <f t="shared" si="6"/>
        <v>ĐẠT</v>
      </c>
      <c r="T6" s="12" t="str">
        <f t="shared" si="7"/>
        <v>ĐẠT</v>
      </c>
    </row>
    <row r="7" spans="1:20" x14ac:dyDescent="0.2">
      <c r="A7" s="12" t="str">
        <f t="shared" si="0"/>
        <v>HD20260301006</v>
      </c>
      <c r="B7" s="16" t="s">
        <v>487</v>
      </c>
      <c r="C7" s="23">
        <f t="shared" si="1"/>
        <v>46082</v>
      </c>
      <c r="D7" s="9">
        <v>12</v>
      </c>
      <c r="E7" s="19">
        <f t="shared" si="2"/>
        <v>19200000</v>
      </c>
      <c r="F7" s="16" t="s">
        <v>194</v>
      </c>
      <c r="G7" s="24">
        <v>6</v>
      </c>
      <c r="H7" s="6">
        <v>46082</v>
      </c>
      <c r="I7" s="9"/>
      <c r="J7" s="12" t="str">
        <f>INDEX(VE_THANG!$E$2:$E$1000,MATCH(B7,VE_THANG!$A$2:$A$1000,0))</f>
        <v>OT</v>
      </c>
      <c r="K7" s="12" t="str">
        <f>INDEX(VE_THANG!$I$2:$I$1000,MATCH(B7,VE_THANG!$A$2:$A$1000,0))</f>
        <v>BAI_TB</v>
      </c>
      <c r="L7" s="12" t="str">
        <f t="shared" si="3"/>
        <v>BAI_TB</v>
      </c>
      <c r="M7" s="19">
        <f>SUMIFS(LOAI_XE!$E$2:$E$1000,LOAI_XE!$A$2:$A$1000,J7,LOAI_XE!$B$2:$B$1000,L7)</f>
        <v>1600000</v>
      </c>
      <c r="N7" s="21">
        <f>IF(B7=B6,MAX(O6,INT(C7)),INDEX(VE_THANG!$F$2:$F$1000,MATCH(B7,VE_THANG!$A$2:$A$1000,0)))</f>
        <v>46082</v>
      </c>
      <c r="O7" s="21">
        <f t="shared" si="4"/>
        <v>46447</v>
      </c>
      <c r="P7" s="12" t="str">
        <f>IF(SUMPRODUCT(--(HOA_DON_VE_THANG!$A$2:$A$1000=A7))=1,"ĐẠT","LỆCH")</f>
        <v>ĐẠT</v>
      </c>
      <c r="Q7" s="12" t="str">
        <f>IF(AND(SUMPRODUCT(--(VE_THANG!$A$2:$A$1000=B7))&gt;0,SUMPRODUCT(--(BAI_DO_XE!$A$2:$A$1000=F7))&gt;0),"ĐẠT","LỆCH")</f>
        <v>ĐẠT</v>
      </c>
      <c r="R7" s="12" t="str">
        <f t="shared" si="5"/>
        <v>ĐẠT</v>
      </c>
      <c r="S7" s="12" t="str">
        <f t="shared" si="6"/>
        <v>ĐẠT</v>
      </c>
      <c r="T7" s="12" t="str">
        <f t="shared" si="7"/>
        <v>ĐẠT</v>
      </c>
    </row>
    <row r="8" spans="1:20" x14ac:dyDescent="0.2">
      <c r="A8" s="12" t="str">
        <f t="shared" si="0"/>
        <v>HD20260903007</v>
      </c>
      <c r="B8" s="16" t="s">
        <v>489</v>
      </c>
      <c r="C8" s="23">
        <f t="shared" si="1"/>
        <v>46268</v>
      </c>
      <c r="D8" s="9">
        <v>1</v>
      </c>
      <c r="E8" s="19">
        <f t="shared" si="2"/>
        <v>200000</v>
      </c>
      <c r="F8" s="16" t="s">
        <v>194</v>
      </c>
      <c r="G8" s="24">
        <v>7</v>
      </c>
      <c r="H8" s="6"/>
      <c r="I8" s="9">
        <v>28</v>
      </c>
      <c r="J8" s="12" t="str">
        <f>INDEX(VE_THANG!$E$2:$E$1000,MATCH(B8,VE_THANG!$A$2:$A$1000,0))</f>
        <v>XM</v>
      </c>
      <c r="K8" s="12" t="str">
        <f>INDEX(VE_THANG!$I$2:$I$1000,MATCH(B8,VE_THANG!$A$2:$A$1000,0))</f>
        <v>BAI_TB</v>
      </c>
      <c r="L8" s="12" t="str">
        <f t="shared" si="3"/>
        <v>BAI_TB</v>
      </c>
      <c r="M8" s="19">
        <f>SUMIFS(LOAI_XE!$E$2:$E$1000,LOAI_XE!$A$2:$A$1000,J8,LOAI_XE!$B$2:$B$1000,L8)</f>
        <v>200000</v>
      </c>
      <c r="N8" s="21">
        <f>IF(B8=B7,MAX(O7,INT(C8)),INDEX(VE_THANG!$F$2:$F$1000,MATCH(B8,VE_THANG!$A$2:$A$1000,0)))</f>
        <v>46268</v>
      </c>
      <c r="O8" s="21">
        <f t="shared" si="4"/>
        <v>46298</v>
      </c>
      <c r="P8" s="12" t="str">
        <f>IF(SUMPRODUCT(--(HOA_DON_VE_THANG!$A$2:$A$1000=A8))=1,"ĐẠT","LỆCH")</f>
        <v>ĐẠT</v>
      </c>
      <c r="Q8" s="12" t="str">
        <f>IF(AND(SUMPRODUCT(--(VE_THANG!$A$2:$A$1000=B8))&gt;0,SUMPRODUCT(--(BAI_DO_XE!$A$2:$A$1000=F8))&gt;0),"ĐẠT","LỆCH")</f>
        <v>ĐẠT</v>
      </c>
      <c r="R8" s="12" t="str">
        <f t="shared" si="5"/>
        <v>ĐẠT</v>
      </c>
      <c r="S8" s="12" t="str">
        <f t="shared" si="6"/>
        <v>ĐẠT</v>
      </c>
      <c r="T8" s="12" t="str">
        <f t="shared" si="7"/>
        <v>ĐẠT</v>
      </c>
    </row>
    <row r="9" spans="1:20" x14ac:dyDescent="0.2">
      <c r="A9" s="12" t="str">
        <f t="shared" si="0"/>
        <v>HD20260115008</v>
      </c>
      <c r="B9" s="16" t="s">
        <v>491</v>
      </c>
      <c r="C9" s="23">
        <f t="shared" si="1"/>
        <v>46037</v>
      </c>
      <c r="D9" s="9">
        <v>6</v>
      </c>
      <c r="E9" s="19">
        <f t="shared" si="2"/>
        <v>1020000</v>
      </c>
      <c r="F9" s="16" t="s">
        <v>191</v>
      </c>
      <c r="G9" s="24">
        <v>8</v>
      </c>
      <c r="H9" s="6">
        <v>46037</v>
      </c>
      <c r="I9" s="9"/>
      <c r="J9" s="12" t="str">
        <f>INDEX(VE_THANG!$E$2:$E$1000,MATCH(B9,VE_THANG!$A$2:$A$1000,0))</f>
        <v>XM</v>
      </c>
      <c r="K9" s="12" t="str">
        <f>INDEX(VE_THANG!$I$2:$I$1000,MATCH(B9,VE_THANG!$A$2:$A$1000,0))</f>
        <v>BAI_Q7</v>
      </c>
      <c r="L9" s="12" t="str">
        <f t="shared" si="3"/>
        <v>BAI_Q7</v>
      </c>
      <c r="M9" s="19">
        <f>SUMIFS(LOAI_XE!$E$2:$E$1000,LOAI_XE!$A$2:$A$1000,J9,LOAI_XE!$B$2:$B$1000,L9)</f>
        <v>170000</v>
      </c>
      <c r="N9" s="21">
        <f>IF(B9=B8,MAX(O8,INT(C9)),INDEX(VE_THANG!$F$2:$F$1000,MATCH(B9,VE_THANG!$A$2:$A$1000,0)))</f>
        <v>46037</v>
      </c>
      <c r="O9" s="21">
        <f t="shared" si="4"/>
        <v>46218</v>
      </c>
      <c r="P9" s="12" t="str">
        <f>IF(SUMPRODUCT(--(HOA_DON_VE_THANG!$A$2:$A$1000=A9))=1,"ĐẠT","LỆCH")</f>
        <v>ĐẠT</v>
      </c>
      <c r="Q9" s="12" t="str">
        <f>IF(AND(SUMPRODUCT(--(VE_THANG!$A$2:$A$1000=B9))&gt;0,SUMPRODUCT(--(BAI_DO_XE!$A$2:$A$1000=F9))&gt;0),"ĐẠT","LỆCH")</f>
        <v>ĐẠT</v>
      </c>
      <c r="R9" s="12" t="str">
        <f t="shared" si="5"/>
        <v>ĐẠT</v>
      </c>
      <c r="S9" s="12" t="str">
        <f t="shared" si="6"/>
        <v>ĐẠT</v>
      </c>
      <c r="T9" s="12" t="str">
        <f t="shared" si="7"/>
        <v>ĐẠT</v>
      </c>
    </row>
    <row r="10" spans="1:20" x14ac:dyDescent="0.2">
      <c r="A10" s="12" t="str">
        <f t="shared" si="0"/>
        <v>HD20260601009</v>
      </c>
      <c r="B10" s="16" t="s">
        <v>493</v>
      </c>
      <c r="C10" s="23">
        <f t="shared" si="1"/>
        <v>46174</v>
      </c>
      <c r="D10" s="9">
        <v>6</v>
      </c>
      <c r="E10" s="19">
        <f t="shared" si="2"/>
        <v>10200000</v>
      </c>
      <c r="F10" s="16" t="s">
        <v>191</v>
      </c>
      <c r="G10" s="24">
        <v>9</v>
      </c>
      <c r="H10" s="6">
        <v>46174</v>
      </c>
      <c r="I10" s="9"/>
      <c r="J10" s="12" t="str">
        <f>INDEX(VE_THANG!$E$2:$E$1000,MATCH(B10,VE_THANG!$A$2:$A$1000,0))</f>
        <v>OT</v>
      </c>
      <c r="K10" s="12" t="str">
        <f>INDEX(VE_THANG!$I$2:$I$1000,MATCH(B10,VE_THANG!$A$2:$A$1000,0))</f>
        <v>BAI_Q7</v>
      </c>
      <c r="L10" s="12" t="str">
        <f t="shared" si="3"/>
        <v>BAI_Q7</v>
      </c>
      <c r="M10" s="19">
        <f>SUMIFS(LOAI_XE!$E$2:$E$1000,LOAI_XE!$A$2:$A$1000,J10,LOAI_XE!$B$2:$B$1000,L10)</f>
        <v>1700000</v>
      </c>
      <c r="N10" s="21">
        <f>IF(B10=B9,MAX(O9,INT(C10)),INDEX(VE_THANG!$F$2:$F$1000,MATCH(B10,VE_THANG!$A$2:$A$1000,0)))</f>
        <v>46174</v>
      </c>
      <c r="O10" s="21">
        <f t="shared" si="4"/>
        <v>46357</v>
      </c>
      <c r="P10" s="12" t="str">
        <f>IF(SUMPRODUCT(--(HOA_DON_VE_THANG!$A$2:$A$1000=A10))=1,"ĐẠT","LỆCH")</f>
        <v>ĐẠT</v>
      </c>
      <c r="Q10" s="12" t="str">
        <f>IF(AND(SUMPRODUCT(--(VE_THANG!$A$2:$A$1000=B10))&gt;0,SUMPRODUCT(--(BAI_DO_XE!$A$2:$A$1000=F10))&gt;0),"ĐẠT","LỆCH")</f>
        <v>ĐẠT</v>
      </c>
      <c r="R10" s="12" t="str">
        <f t="shared" si="5"/>
        <v>ĐẠT</v>
      </c>
      <c r="S10" s="12" t="str">
        <f t="shared" si="6"/>
        <v>ĐẠT</v>
      </c>
      <c r="T10" s="12" t="str">
        <f t="shared" si="7"/>
        <v>ĐẠT</v>
      </c>
    </row>
    <row r="11" spans="1:20" x14ac:dyDescent="0.2">
      <c r="A11" s="12" t="str">
        <f t="shared" si="0"/>
        <v>HD20260106010</v>
      </c>
      <c r="B11" s="16" t="s">
        <v>495</v>
      </c>
      <c r="C11" s="23">
        <f t="shared" si="1"/>
        <v>46028</v>
      </c>
      <c r="D11" s="9">
        <v>12</v>
      </c>
      <c r="E11" s="19">
        <f t="shared" si="2"/>
        <v>26400000</v>
      </c>
      <c r="F11" s="16" t="s">
        <v>182</v>
      </c>
      <c r="G11" s="24">
        <v>10</v>
      </c>
      <c r="H11" s="6">
        <v>46028</v>
      </c>
      <c r="I11" s="9"/>
      <c r="J11" s="12" t="str">
        <f>INDEX(VE_THANG!$E$2:$E$1000,MATCH(B11,VE_THANG!$A$2:$A$1000,0))</f>
        <v>OT</v>
      </c>
      <c r="K11" s="12" t="str">
        <f>INDEX(VE_THANG!$I$2:$I$1000,MATCH(B11,VE_THANG!$A$2:$A$1000,0))</f>
        <v>BAI_BT</v>
      </c>
      <c r="L11" s="12" t="str">
        <f t="shared" si="3"/>
        <v>BAI_BT</v>
      </c>
      <c r="M11" s="19">
        <f>SUMIFS(LOAI_XE!$E$2:$E$1000,LOAI_XE!$A$2:$A$1000,J11,LOAI_XE!$B$2:$B$1000,L11)</f>
        <v>2200000</v>
      </c>
      <c r="N11" s="21">
        <f>IF(B11=B10,MAX(O10,INT(C11)),INDEX(VE_THANG!$F$2:$F$1000,MATCH(B11,VE_THANG!$A$2:$A$1000,0)))</f>
        <v>46028</v>
      </c>
      <c r="O11" s="21">
        <f t="shared" si="4"/>
        <v>46393</v>
      </c>
      <c r="P11" s="12" t="str">
        <f>IF(SUMPRODUCT(--(HOA_DON_VE_THANG!$A$2:$A$1000=A11))=1,"ĐẠT","LỆCH")</f>
        <v>ĐẠT</v>
      </c>
      <c r="Q11" s="12" t="str">
        <f>IF(AND(SUMPRODUCT(--(VE_THANG!$A$2:$A$1000=B11))&gt;0,SUMPRODUCT(--(BAI_DO_XE!$A$2:$A$1000=F11))&gt;0),"ĐẠT","LỆCH")</f>
        <v>ĐẠT</v>
      </c>
      <c r="R11" s="12" t="str">
        <f t="shared" si="5"/>
        <v>ĐẠT</v>
      </c>
      <c r="S11" s="12" t="str">
        <f t="shared" si="6"/>
        <v>ĐẠT</v>
      </c>
      <c r="T11" s="12" t="str">
        <f t="shared" si="7"/>
        <v>ĐẠT</v>
      </c>
    </row>
  </sheetData>
  <autoFilter ref="A1:T11" xr:uid="{00000000-0009-0000-0000-00000C000000}"/>
  <conditionalFormatting sqref="P2:T1000">
    <cfRule type="cellIs" dxfId="5" priority="2" operator="equal">
      <formula>"LỆCH"</formula>
    </cfRule>
    <cfRule type="cellIs" dxfId="4" priority="3" operator="equal">
      <formula>"ĐẠT"</formula>
    </cfRule>
  </conditionalFormatting>
  <dataValidations count="2">
    <dataValidation type="whole" operator="greaterThan" showErrorMessage="1" errorTitle="Dữ liệu không hợp lệ" error="Phải là số &gt; 0" sqref="D2:D1000" xr:uid="{00000000-0002-0000-0C00-000002000000}">
      <formula1>0</formula1>
      <formula2>0</formula2>
    </dataValidation>
    <dataValidation type="whole" operator="greaterThan" allowBlank="1" showErrorMessage="1" errorTitle="Dữ liệu không hợp lệ" error="Phải là số &gt; 0" sqref="I2:I1000" xr:uid="{00000000-0002-0000-0C00-000003000000}">
      <formula1>0</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showErrorMessage="1" errorTitle="Dữ liệu không hợp lệ" error="Giá trị phải tồn tại ở VE_THANG.MaVe" xr:uid="{00000000-0002-0000-0C00-000000000000}">
          <x14:formula1>
            <xm:f>VE_THANG!$A$2:$A$1000</xm:f>
          </x14:formula1>
          <x14:formula2>
            <xm:f>0</xm:f>
          </x14:formula2>
          <xm:sqref>B2:B1000</xm:sqref>
        </x14:dataValidation>
        <x14:dataValidation type="list" showErrorMessage="1" errorTitle="Dữ liệu không hợp lệ" error="Giá trị phải tồn tại ở BAI_DO_XE.MaBai" xr:uid="{00000000-0002-0000-0C00-000001000000}">
          <x14:formula1>
            <xm:f>BAI_DO_XE!$A$2:$A$1000</xm:f>
          </x14:formula1>
          <x14:formula2>
            <xm:f>0</xm:f>
          </x14:formula2>
          <xm:sqref>F2:F1000</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9"/>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5" defaultRowHeight="15" x14ac:dyDescent="0.2"/>
  <cols>
    <col min="1" max="3" width="12" customWidth="1"/>
    <col min="4" max="4" width="15" customWidth="1"/>
    <col min="5" max="5" width="14" customWidth="1"/>
    <col min="6" max="8" width="12" customWidth="1"/>
    <col min="9" max="10" width="21" customWidth="1"/>
    <col min="11" max="11" width="19" customWidth="1"/>
    <col min="12" max="13" width="12" customWidth="1"/>
    <col min="14" max="14" width="13" customWidth="1"/>
    <col min="15" max="15" width="19" customWidth="1"/>
    <col min="16" max="16" width="12" customWidth="1"/>
    <col min="17" max="17" width="14" customWidth="1"/>
    <col min="18" max="18" width="12" customWidth="1"/>
    <col min="19" max="20" width="17" customWidth="1"/>
    <col min="21" max="21" width="21" customWidth="1"/>
    <col min="22" max="22" width="19" customWidth="1"/>
    <col min="23" max="23" width="12" customWidth="1"/>
    <col min="24" max="24" width="15" customWidth="1"/>
    <col min="25" max="25" width="21" customWidth="1"/>
    <col min="26" max="26" width="20" customWidth="1"/>
    <col min="27" max="27" width="15" customWidth="1"/>
    <col min="28" max="28" width="18" customWidth="1"/>
    <col min="29" max="29" width="20" customWidth="1"/>
  </cols>
  <sheetData>
    <row r="1" spans="1:29" ht="33.75" customHeight="1" x14ac:dyDescent="0.2">
      <c r="A1" s="13" t="s">
        <v>508</v>
      </c>
      <c r="B1" s="13" t="s">
        <v>373</v>
      </c>
      <c r="C1" s="13" t="s">
        <v>464</v>
      </c>
      <c r="D1" s="14" t="s">
        <v>509</v>
      </c>
      <c r="E1" s="14" t="s">
        <v>510</v>
      </c>
      <c r="F1" s="13" t="s">
        <v>286</v>
      </c>
      <c r="G1" s="14" t="s">
        <v>511</v>
      </c>
      <c r="H1" s="13" t="s">
        <v>170</v>
      </c>
      <c r="I1" s="20" t="s">
        <v>512</v>
      </c>
      <c r="J1" s="20" t="s">
        <v>513</v>
      </c>
      <c r="K1" s="20" t="s">
        <v>514</v>
      </c>
      <c r="L1" s="15" t="s">
        <v>374</v>
      </c>
      <c r="M1" s="15" t="s">
        <v>274</v>
      </c>
      <c r="N1" s="15" t="s">
        <v>276</v>
      </c>
      <c r="O1" s="15" t="s">
        <v>515</v>
      </c>
      <c r="P1" s="15" t="s">
        <v>516</v>
      </c>
      <c r="Q1" s="15" t="s">
        <v>517</v>
      </c>
      <c r="R1" s="15" t="s">
        <v>518</v>
      </c>
      <c r="S1" s="15" t="s">
        <v>381</v>
      </c>
      <c r="T1" s="15" t="s">
        <v>519</v>
      </c>
      <c r="U1" s="15" t="s">
        <v>520</v>
      </c>
      <c r="V1" s="15" t="s">
        <v>145</v>
      </c>
      <c r="W1" s="15" t="s">
        <v>121</v>
      </c>
      <c r="X1" s="15" t="s">
        <v>148</v>
      </c>
      <c r="Y1" s="15" t="s">
        <v>150</v>
      </c>
      <c r="Z1" s="15" t="s">
        <v>152</v>
      </c>
      <c r="AA1" s="15" t="s">
        <v>154</v>
      </c>
      <c r="AB1" s="15" t="s">
        <v>156</v>
      </c>
      <c r="AC1" s="15" t="s">
        <v>158</v>
      </c>
    </row>
    <row r="2" spans="1:29" x14ac:dyDescent="0.2">
      <c r="A2" s="9">
        <v>1</v>
      </c>
      <c r="B2" s="16" t="s">
        <v>383</v>
      </c>
      <c r="C2" s="16" t="s">
        <v>521</v>
      </c>
      <c r="D2" s="23">
        <f t="shared" ref="D2:D19" si="0">IF(LEN(K2)&gt;0,ThoiDiemNap-K2/1440,I2)</f>
        <v>46272.302083333299</v>
      </c>
      <c r="E2" s="23">
        <f t="shared" ref="E2:E19" si="1">IF(LEN(J2)&gt;0,J2,"")</f>
        <v>46272.46875</v>
      </c>
      <c r="F2" s="16" t="s">
        <v>316</v>
      </c>
      <c r="G2" s="19">
        <f t="shared" ref="G2:G19" si="2">IF(LEN(E2)=0,0,R2)</f>
        <v>24000</v>
      </c>
      <c r="H2" s="16" t="s">
        <v>185</v>
      </c>
      <c r="I2" s="6">
        <v>46272.302083333299</v>
      </c>
      <c r="J2" s="6">
        <v>46272.46875</v>
      </c>
      <c r="K2" s="9"/>
      <c r="L2" s="12" t="str">
        <f>INDEX(THE_XE!$C$2:$C$1000,MATCH(B2,THE_XE!$A$2:$A$1000,0))</f>
        <v>Lượt</v>
      </c>
      <c r="M2" s="12" t="str">
        <f>INDEX(VI_TRI_DO!$D$2:$D$1000,MATCH(F2,VI_TRI_DO!$A$2:$A$1000,0))</f>
        <v>XM</v>
      </c>
      <c r="N2" s="19">
        <f>SUMIFS(LOAI_XE!$D$2:$D$1000,LOAI_XE!$A$2:$A$1000,M2,LOAI_XE!$B$2:$B$1000,H2)</f>
        <v>6000</v>
      </c>
      <c r="O2" s="23">
        <f t="shared" ref="O2:O19" si="3">IF(LEN(E2)=0,ThoiDiemTinh,E2)</f>
        <v>46272.46875</v>
      </c>
      <c r="P2" s="17">
        <f t="shared" ref="P2:P19" si="4">INT(O2*1440+0.000001)-INT(D2*1440+0.000001)</f>
        <v>240</v>
      </c>
      <c r="Q2" s="17">
        <f t="shared" ref="Q2:Q19" si="5">IF(P2&lt;=PhutMienPhi,0,CEILING(P2/PhutMoiBlock,1))</f>
        <v>4</v>
      </c>
      <c r="R2" s="19">
        <f t="shared" ref="R2:R19" si="6">IF(L2="Tháng",0,Q2*N2)</f>
        <v>24000</v>
      </c>
      <c r="S2" s="12" t="str">
        <f>IFERROR(INDEX(VE_THANG!$I$2:$I$1000,MATCH(B2,VE_THANG!$B$2:$B$1000,0)),"")</f>
        <v/>
      </c>
      <c r="T2" s="12" t="str">
        <f>IFERROR(INDEX(VE_THANG!$D$2:$D$1000,MATCH(B2,VE_THANG!$B$2:$B$1000,0)),"")</f>
        <v/>
      </c>
      <c r="U2" s="12" t="str">
        <f t="shared" ref="U2:U19" si="7">IF(AND(T2&lt;&gt;"",T2&lt;&gt;C2),"LỆCH BIỂN SỐ","")</f>
        <v/>
      </c>
      <c r="V2" s="12" t="str">
        <f t="shared" ref="V2:V19" si="8">IF(A2=ROW()-1,"ĐẠT","LỆCH")</f>
        <v>ĐẠT</v>
      </c>
      <c r="W2" s="12" t="str">
        <f>IF(AND(SUMPRODUCT(--(THE_XE!$A$2:$A$1000=B2))&gt;0,SUMPRODUCT(--(VI_TRI_DO!$A$2:$A$1000=F2))&gt;0,SUMPRODUCT(--(BAI_DO_XE!$A$2:$A$1000=H2))&gt;0),"ĐẠT","LỆCH")</f>
        <v>ĐẠT</v>
      </c>
      <c r="X2" s="12" t="str">
        <f>IF(INDEX(VI_TRI_DO!$E$2:$E$1000,MATCH(F2,VI_TRI_DO!$A$2:$A$1000,0))=H2,"ĐẠT","LỆCH")</f>
        <v>ĐẠT</v>
      </c>
      <c r="Y2" s="12" t="str">
        <f>IF(L2="Lượt",IF(INDEX(THE_XE!$B$2:$B$1000,MATCH(B2,THE_XE!$A$2:$A$1000,0))=H2,"ĐẠT","LỆCH"),"ĐẠT")</f>
        <v>ĐẠT</v>
      </c>
      <c r="Z2" s="12" t="str">
        <f t="shared" ref="Z2:Z19" si="9">IF(OR(L2&lt;&gt;"Tháng",S2="ALL"),"ĐẠT",IF(S2=H2,"ĐẠT","LỆCH"))</f>
        <v>ĐẠT</v>
      </c>
      <c r="AA2" s="12" t="str">
        <f t="shared" ref="AA2:AA19" si="10">IF(LEN(E2)=0,"ĐẠT",IF(E2&gt;=D2,"ĐẠT","LỆCH"))</f>
        <v>ĐẠT</v>
      </c>
      <c r="AB2" s="12" t="str">
        <f>IF(LEN(E2)=0,IF(AND(INDEX(THE_XE!$D$2:$D$1000,MATCH(B2,THE_XE!$A$2:$A$1000,0))="Hoạt động",OR(L2&lt;&gt;"Tháng",IFERROR(INDEX(VE_THANG!$H$2:$H$1000,MATCH(B2,VE_THANG!$B$2:$B$1000,0)),"")&lt;&gt;"Hết hạn")),"ĐẠT","LỆCH"),"ĐẠT")</f>
        <v>ĐẠT</v>
      </c>
      <c r="AC2" s="12" t="str">
        <f t="shared" ref="AC2:AC19" si="11">IF(U2="","ĐẠT","LỆCH")</f>
        <v>ĐẠT</v>
      </c>
    </row>
    <row r="3" spans="1:29" x14ac:dyDescent="0.2">
      <c r="A3" s="9">
        <v>2</v>
      </c>
      <c r="B3" s="16" t="s">
        <v>387</v>
      </c>
      <c r="C3" s="16" t="s">
        <v>522</v>
      </c>
      <c r="D3" s="23">
        <f t="shared" si="0"/>
        <v>46272.333333333299</v>
      </c>
      <c r="E3" s="23">
        <f t="shared" si="1"/>
        <v>46272.583333333299</v>
      </c>
      <c r="F3" s="16" t="s">
        <v>307</v>
      </c>
      <c r="G3" s="19">
        <f t="shared" si="2"/>
        <v>150000</v>
      </c>
      <c r="H3" s="16" t="s">
        <v>185</v>
      </c>
      <c r="I3" s="6">
        <v>46272.333333333299</v>
      </c>
      <c r="J3" s="6">
        <v>46272.583333333299</v>
      </c>
      <c r="K3" s="9"/>
      <c r="L3" s="12" t="str">
        <f>INDEX(THE_XE!$C$2:$C$1000,MATCH(B3,THE_XE!$A$2:$A$1000,0))</f>
        <v>Lượt</v>
      </c>
      <c r="M3" s="12" t="str">
        <f>INDEX(VI_TRI_DO!$D$2:$D$1000,MATCH(F3,VI_TRI_DO!$A$2:$A$1000,0))</f>
        <v>OT</v>
      </c>
      <c r="N3" s="19">
        <f>SUMIFS(LOAI_XE!$D$2:$D$1000,LOAI_XE!$A$2:$A$1000,M3,LOAI_XE!$B$2:$B$1000,H3)</f>
        <v>25000</v>
      </c>
      <c r="O3" s="23">
        <f t="shared" si="3"/>
        <v>46272.583333333299</v>
      </c>
      <c r="P3" s="17">
        <f t="shared" si="4"/>
        <v>360</v>
      </c>
      <c r="Q3" s="17">
        <f t="shared" si="5"/>
        <v>6</v>
      </c>
      <c r="R3" s="19">
        <f t="shared" si="6"/>
        <v>150000</v>
      </c>
      <c r="S3" s="12" t="str">
        <f>IFERROR(INDEX(VE_THANG!$I$2:$I$1000,MATCH(B3,VE_THANG!$B$2:$B$1000,0)),"")</f>
        <v/>
      </c>
      <c r="T3" s="12" t="str">
        <f>IFERROR(INDEX(VE_THANG!$D$2:$D$1000,MATCH(B3,VE_THANG!$B$2:$B$1000,0)),"")</f>
        <v/>
      </c>
      <c r="U3" s="12" t="str">
        <f t="shared" si="7"/>
        <v/>
      </c>
      <c r="V3" s="12" t="str">
        <f t="shared" si="8"/>
        <v>ĐẠT</v>
      </c>
      <c r="W3" s="12" t="str">
        <f>IF(AND(SUMPRODUCT(--(THE_XE!$A$2:$A$1000=B3))&gt;0,SUMPRODUCT(--(VI_TRI_DO!$A$2:$A$1000=F3))&gt;0,SUMPRODUCT(--(BAI_DO_XE!$A$2:$A$1000=H3))&gt;0),"ĐẠT","LỆCH")</f>
        <v>ĐẠT</v>
      </c>
      <c r="X3" s="12" t="str">
        <f>IF(INDEX(VI_TRI_DO!$E$2:$E$1000,MATCH(F3,VI_TRI_DO!$A$2:$A$1000,0))=H3,"ĐẠT","LỆCH")</f>
        <v>ĐẠT</v>
      </c>
      <c r="Y3" s="12" t="str">
        <f>IF(L3="Lượt",IF(INDEX(THE_XE!$B$2:$B$1000,MATCH(B3,THE_XE!$A$2:$A$1000,0))=H3,"ĐẠT","LỆCH"),"ĐẠT")</f>
        <v>ĐẠT</v>
      </c>
      <c r="Z3" s="12" t="str">
        <f t="shared" si="9"/>
        <v>ĐẠT</v>
      </c>
      <c r="AA3" s="12" t="str">
        <f t="shared" si="10"/>
        <v>ĐẠT</v>
      </c>
      <c r="AB3" s="12" t="str">
        <f>IF(LEN(E3)=0,IF(AND(INDEX(THE_XE!$D$2:$D$1000,MATCH(B3,THE_XE!$A$2:$A$1000,0))="Hoạt động",OR(L3&lt;&gt;"Tháng",IFERROR(INDEX(VE_THANG!$H$2:$H$1000,MATCH(B3,VE_THANG!$B$2:$B$1000,0)),"")&lt;&gt;"Hết hạn")),"ĐẠT","LỆCH"),"ĐẠT")</f>
        <v>ĐẠT</v>
      </c>
      <c r="AC3" s="12" t="str">
        <f t="shared" si="11"/>
        <v>ĐẠT</v>
      </c>
    </row>
    <row r="4" spans="1:29" x14ac:dyDescent="0.2">
      <c r="A4" s="9">
        <v>3</v>
      </c>
      <c r="B4" s="16" t="s">
        <v>392</v>
      </c>
      <c r="C4" s="16" t="s">
        <v>523</v>
      </c>
      <c r="D4" s="23">
        <f t="shared" si="0"/>
        <v>46272.395833333299</v>
      </c>
      <c r="E4" s="23">
        <f t="shared" si="1"/>
        <v>46272.520833333299</v>
      </c>
      <c r="F4" s="16" t="s">
        <v>333</v>
      </c>
      <c r="G4" s="19">
        <f t="shared" si="2"/>
        <v>15000</v>
      </c>
      <c r="H4" s="16" t="s">
        <v>188</v>
      </c>
      <c r="I4" s="6">
        <v>46272.395833333299</v>
      </c>
      <c r="J4" s="6">
        <v>46272.520833333299</v>
      </c>
      <c r="K4" s="9"/>
      <c r="L4" s="12" t="str">
        <f>INDEX(THE_XE!$C$2:$C$1000,MATCH(B4,THE_XE!$A$2:$A$1000,0))</f>
        <v>Lượt</v>
      </c>
      <c r="M4" s="12" t="str">
        <f>INDEX(VI_TRI_DO!$D$2:$D$1000,MATCH(F4,VI_TRI_DO!$A$2:$A$1000,0))</f>
        <v>XM</v>
      </c>
      <c r="N4" s="19">
        <f>SUMIFS(LOAI_XE!$D$2:$D$1000,LOAI_XE!$A$2:$A$1000,M4,LOAI_XE!$B$2:$B$1000,H4)</f>
        <v>5000</v>
      </c>
      <c r="O4" s="23">
        <f t="shared" si="3"/>
        <v>46272.520833333299</v>
      </c>
      <c r="P4" s="17">
        <f t="shared" si="4"/>
        <v>180</v>
      </c>
      <c r="Q4" s="17">
        <f t="shared" si="5"/>
        <v>3</v>
      </c>
      <c r="R4" s="19">
        <f t="shared" si="6"/>
        <v>15000</v>
      </c>
      <c r="S4" s="12" t="str">
        <f>IFERROR(INDEX(VE_THANG!$I$2:$I$1000,MATCH(B4,VE_THANG!$B$2:$B$1000,0)),"")</f>
        <v/>
      </c>
      <c r="T4" s="12" t="str">
        <f>IFERROR(INDEX(VE_THANG!$D$2:$D$1000,MATCH(B4,VE_THANG!$B$2:$B$1000,0)),"")</f>
        <v/>
      </c>
      <c r="U4" s="12" t="str">
        <f t="shared" si="7"/>
        <v/>
      </c>
      <c r="V4" s="12" t="str">
        <f t="shared" si="8"/>
        <v>ĐẠT</v>
      </c>
      <c r="W4" s="12" t="str">
        <f>IF(AND(SUMPRODUCT(--(THE_XE!$A$2:$A$1000=B4))&gt;0,SUMPRODUCT(--(VI_TRI_DO!$A$2:$A$1000=F4))&gt;0,SUMPRODUCT(--(BAI_DO_XE!$A$2:$A$1000=H4))&gt;0),"ĐẠT","LỆCH")</f>
        <v>ĐẠT</v>
      </c>
      <c r="X4" s="12" t="str">
        <f>IF(INDEX(VI_TRI_DO!$E$2:$E$1000,MATCH(F4,VI_TRI_DO!$A$2:$A$1000,0))=H4,"ĐẠT","LỆCH")</f>
        <v>ĐẠT</v>
      </c>
      <c r="Y4" s="12" t="str">
        <f>IF(L4="Lượt",IF(INDEX(THE_XE!$B$2:$B$1000,MATCH(B4,THE_XE!$A$2:$A$1000,0))=H4,"ĐẠT","LỆCH"),"ĐẠT")</f>
        <v>ĐẠT</v>
      </c>
      <c r="Z4" s="12" t="str">
        <f t="shared" si="9"/>
        <v>ĐẠT</v>
      </c>
      <c r="AA4" s="12" t="str">
        <f t="shared" si="10"/>
        <v>ĐẠT</v>
      </c>
      <c r="AB4" s="12" t="str">
        <f>IF(LEN(E4)=0,IF(AND(INDEX(THE_XE!$D$2:$D$1000,MATCH(B4,THE_XE!$A$2:$A$1000,0))="Hoạt động",OR(L4&lt;&gt;"Tháng",IFERROR(INDEX(VE_THANG!$H$2:$H$1000,MATCH(B4,VE_THANG!$B$2:$B$1000,0)),"")&lt;&gt;"Hết hạn")),"ĐẠT","LỆCH"),"ĐẠT")</f>
        <v>ĐẠT</v>
      </c>
      <c r="AC4" s="12" t="str">
        <f t="shared" si="11"/>
        <v>ĐẠT</v>
      </c>
    </row>
    <row r="5" spans="1:29" x14ac:dyDescent="0.2">
      <c r="A5" s="9">
        <v>4</v>
      </c>
      <c r="B5" s="16" t="s">
        <v>396</v>
      </c>
      <c r="C5" s="16" t="s">
        <v>524</v>
      </c>
      <c r="D5" s="23">
        <f t="shared" si="0"/>
        <v>46272.28125</v>
      </c>
      <c r="E5" s="23">
        <f t="shared" si="1"/>
        <v>46272.739583333299</v>
      </c>
      <c r="F5" s="16" t="s">
        <v>298</v>
      </c>
      <c r="G5" s="19">
        <f t="shared" si="2"/>
        <v>77000</v>
      </c>
      <c r="H5" s="16" t="s">
        <v>182</v>
      </c>
      <c r="I5" s="6">
        <v>46272.28125</v>
      </c>
      <c r="J5" s="6">
        <v>46272.739583333299</v>
      </c>
      <c r="K5" s="9"/>
      <c r="L5" s="12" t="str">
        <f>INDEX(THE_XE!$C$2:$C$1000,MATCH(B5,THE_XE!$A$2:$A$1000,0))</f>
        <v>Lượt</v>
      </c>
      <c r="M5" s="12" t="str">
        <f>INDEX(VI_TRI_DO!$D$2:$D$1000,MATCH(F5,VI_TRI_DO!$A$2:$A$1000,0))</f>
        <v>XM</v>
      </c>
      <c r="N5" s="19">
        <f>SUMIFS(LOAI_XE!$D$2:$D$1000,LOAI_XE!$A$2:$A$1000,M5,LOAI_XE!$B$2:$B$1000,H5)</f>
        <v>7000</v>
      </c>
      <c r="O5" s="23">
        <f t="shared" si="3"/>
        <v>46272.739583333299</v>
      </c>
      <c r="P5" s="17">
        <f t="shared" si="4"/>
        <v>660</v>
      </c>
      <c r="Q5" s="17">
        <f t="shared" si="5"/>
        <v>11</v>
      </c>
      <c r="R5" s="19">
        <f t="shared" si="6"/>
        <v>77000</v>
      </c>
      <c r="S5" s="12" t="str">
        <f>IFERROR(INDEX(VE_THANG!$I$2:$I$1000,MATCH(B5,VE_THANG!$B$2:$B$1000,0)),"")</f>
        <v/>
      </c>
      <c r="T5" s="12" t="str">
        <f>IFERROR(INDEX(VE_THANG!$D$2:$D$1000,MATCH(B5,VE_THANG!$B$2:$B$1000,0)),"")</f>
        <v/>
      </c>
      <c r="U5" s="12" t="str">
        <f t="shared" si="7"/>
        <v/>
      </c>
      <c r="V5" s="12" t="str">
        <f t="shared" si="8"/>
        <v>ĐẠT</v>
      </c>
      <c r="W5" s="12" t="str">
        <f>IF(AND(SUMPRODUCT(--(THE_XE!$A$2:$A$1000=B5))&gt;0,SUMPRODUCT(--(VI_TRI_DO!$A$2:$A$1000=F5))&gt;0,SUMPRODUCT(--(BAI_DO_XE!$A$2:$A$1000=H5))&gt;0),"ĐẠT","LỆCH")</f>
        <v>ĐẠT</v>
      </c>
      <c r="X5" s="12" t="str">
        <f>IF(INDEX(VI_TRI_DO!$E$2:$E$1000,MATCH(F5,VI_TRI_DO!$A$2:$A$1000,0))=H5,"ĐẠT","LỆCH")</f>
        <v>ĐẠT</v>
      </c>
      <c r="Y5" s="12" t="str">
        <f>IF(L5="Lượt",IF(INDEX(THE_XE!$B$2:$B$1000,MATCH(B5,THE_XE!$A$2:$A$1000,0))=H5,"ĐẠT","LỆCH"),"ĐẠT")</f>
        <v>ĐẠT</v>
      </c>
      <c r="Z5" s="12" t="str">
        <f t="shared" si="9"/>
        <v>ĐẠT</v>
      </c>
      <c r="AA5" s="12" t="str">
        <f t="shared" si="10"/>
        <v>ĐẠT</v>
      </c>
      <c r="AB5" s="12" t="str">
        <f>IF(LEN(E5)=0,IF(AND(INDEX(THE_XE!$D$2:$D$1000,MATCH(B5,THE_XE!$A$2:$A$1000,0))="Hoạt động",OR(L5&lt;&gt;"Tháng",IFERROR(INDEX(VE_THANG!$H$2:$H$1000,MATCH(B5,VE_THANG!$B$2:$B$1000,0)),"")&lt;&gt;"Hết hạn")),"ĐẠT","LỆCH"),"ĐẠT")</f>
        <v>ĐẠT</v>
      </c>
      <c r="AC5" s="12" t="str">
        <f t="shared" si="11"/>
        <v>ĐẠT</v>
      </c>
    </row>
    <row r="6" spans="1:29" x14ac:dyDescent="0.2">
      <c r="A6" s="9">
        <v>5</v>
      </c>
      <c r="B6" s="16" t="s">
        <v>401</v>
      </c>
      <c r="C6" s="16" t="s">
        <v>525</v>
      </c>
      <c r="D6" s="23">
        <f t="shared" si="0"/>
        <v>46272.229166666701</v>
      </c>
      <c r="E6" s="23">
        <f t="shared" si="1"/>
        <v>46272.340277777803</v>
      </c>
      <c r="F6" s="16" t="s">
        <v>365</v>
      </c>
      <c r="G6" s="19">
        <f t="shared" si="2"/>
        <v>15000</v>
      </c>
      <c r="H6" s="16" t="s">
        <v>194</v>
      </c>
      <c r="I6" s="6">
        <v>46272.229166666701</v>
      </c>
      <c r="J6" s="6">
        <v>46272.340277777803</v>
      </c>
      <c r="K6" s="9"/>
      <c r="L6" s="12" t="str">
        <f>INDEX(THE_XE!$C$2:$C$1000,MATCH(B6,THE_XE!$A$2:$A$1000,0))</f>
        <v>Lượt</v>
      </c>
      <c r="M6" s="12" t="str">
        <f>INDEX(VI_TRI_DO!$D$2:$D$1000,MATCH(F6,VI_TRI_DO!$A$2:$A$1000,0))</f>
        <v>XM</v>
      </c>
      <c r="N6" s="19">
        <f>SUMIFS(LOAI_XE!$D$2:$D$1000,LOAI_XE!$A$2:$A$1000,M6,LOAI_XE!$B$2:$B$1000,H6)</f>
        <v>5000</v>
      </c>
      <c r="O6" s="23">
        <f t="shared" si="3"/>
        <v>46272.340277777803</v>
      </c>
      <c r="P6" s="17">
        <f t="shared" si="4"/>
        <v>160</v>
      </c>
      <c r="Q6" s="17">
        <f t="shared" si="5"/>
        <v>3</v>
      </c>
      <c r="R6" s="19">
        <f t="shared" si="6"/>
        <v>15000</v>
      </c>
      <c r="S6" s="12" t="str">
        <f>IFERROR(INDEX(VE_THANG!$I$2:$I$1000,MATCH(B6,VE_THANG!$B$2:$B$1000,0)),"")</f>
        <v/>
      </c>
      <c r="T6" s="12" t="str">
        <f>IFERROR(INDEX(VE_THANG!$D$2:$D$1000,MATCH(B6,VE_THANG!$B$2:$B$1000,0)),"")</f>
        <v/>
      </c>
      <c r="U6" s="12" t="str">
        <f t="shared" si="7"/>
        <v/>
      </c>
      <c r="V6" s="12" t="str">
        <f t="shared" si="8"/>
        <v>ĐẠT</v>
      </c>
      <c r="W6" s="12" t="str">
        <f>IF(AND(SUMPRODUCT(--(THE_XE!$A$2:$A$1000=B6))&gt;0,SUMPRODUCT(--(VI_TRI_DO!$A$2:$A$1000=F6))&gt;0,SUMPRODUCT(--(BAI_DO_XE!$A$2:$A$1000=H6))&gt;0),"ĐẠT","LỆCH")</f>
        <v>ĐẠT</v>
      </c>
      <c r="X6" s="12" t="str">
        <f>IF(INDEX(VI_TRI_DO!$E$2:$E$1000,MATCH(F6,VI_TRI_DO!$A$2:$A$1000,0))=H6,"ĐẠT","LỆCH")</f>
        <v>ĐẠT</v>
      </c>
      <c r="Y6" s="12" t="str">
        <f>IF(L6="Lượt",IF(INDEX(THE_XE!$B$2:$B$1000,MATCH(B6,THE_XE!$A$2:$A$1000,0))=H6,"ĐẠT","LỆCH"),"ĐẠT")</f>
        <v>ĐẠT</v>
      </c>
      <c r="Z6" s="12" t="str">
        <f t="shared" si="9"/>
        <v>ĐẠT</v>
      </c>
      <c r="AA6" s="12" t="str">
        <f t="shared" si="10"/>
        <v>ĐẠT</v>
      </c>
      <c r="AB6" s="12" t="str">
        <f>IF(LEN(E6)=0,IF(AND(INDEX(THE_XE!$D$2:$D$1000,MATCH(B6,THE_XE!$A$2:$A$1000,0))="Hoạt động",OR(L6&lt;&gt;"Tháng",IFERROR(INDEX(VE_THANG!$H$2:$H$1000,MATCH(B6,VE_THANG!$B$2:$B$1000,0)),"")&lt;&gt;"Hết hạn")),"ĐẠT","LỆCH"),"ĐẠT")</f>
        <v>ĐẠT</v>
      </c>
      <c r="AC6" s="12" t="str">
        <f t="shared" si="11"/>
        <v>ĐẠT</v>
      </c>
    </row>
    <row r="7" spans="1:29" x14ac:dyDescent="0.2">
      <c r="A7" s="9">
        <v>6</v>
      </c>
      <c r="B7" s="16" t="s">
        <v>403</v>
      </c>
      <c r="C7" s="16" t="s">
        <v>526</v>
      </c>
      <c r="D7" s="23">
        <f t="shared" si="0"/>
        <v>46272.416666666701</v>
      </c>
      <c r="E7" s="23">
        <f t="shared" si="1"/>
        <v>46272.638888888898</v>
      </c>
      <c r="F7" s="16" t="s">
        <v>358</v>
      </c>
      <c r="G7" s="19">
        <f t="shared" si="2"/>
        <v>150000</v>
      </c>
      <c r="H7" s="16" t="s">
        <v>194</v>
      </c>
      <c r="I7" s="6">
        <v>46272.416666666701</v>
      </c>
      <c r="J7" s="6">
        <v>46272.638888888898</v>
      </c>
      <c r="K7" s="9"/>
      <c r="L7" s="12" t="str">
        <f>INDEX(THE_XE!$C$2:$C$1000,MATCH(B7,THE_XE!$A$2:$A$1000,0))</f>
        <v>Lượt</v>
      </c>
      <c r="M7" s="12" t="str">
        <f>INDEX(VI_TRI_DO!$D$2:$D$1000,MATCH(F7,VI_TRI_DO!$A$2:$A$1000,0))</f>
        <v>OT</v>
      </c>
      <c r="N7" s="19">
        <f>SUMIFS(LOAI_XE!$D$2:$D$1000,LOAI_XE!$A$2:$A$1000,M7,LOAI_XE!$B$2:$B$1000,H7)</f>
        <v>25000</v>
      </c>
      <c r="O7" s="23">
        <f t="shared" si="3"/>
        <v>46272.638888888898</v>
      </c>
      <c r="P7" s="17">
        <f t="shared" si="4"/>
        <v>320</v>
      </c>
      <c r="Q7" s="17">
        <f t="shared" si="5"/>
        <v>6</v>
      </c>
      <c r="R7" s="19">
        <f t="shared" si="6"/>
        <v>150000</v>
      </c>
      <c r="S7" s="12" t="str">
        <f>IFERROR(INDEX(VE_THANG!$I$2:$I$1000,MATCH(B7,VE_THANG!$B$2:$B$1000,0)),"")</f>
        <v/>
      </c>
      <c r="T7" s="12" t="str">
        <f>IFERROR(INDEX(VE_THANG!$D$2:$D$1000,MATCH(B7,VE_THANG!$B$2:$B$1000,0)),"")</f>
        <v/>
      </c>
      <c r="U7" s="12" t="str">
        <f t="shared" si="7"/>
        <v/>
      </c>
      <c r="V7" s="12" t="str">
        <f t="shared" si="8"/>
        <v>ĐẠT</v>
      </c>
      <c r="W7" s="12" t="str">
        <f>IF(AND(SUMPRODUCT(--(THE_XE!$A$2:$A$1000=B7))&gt;0,SUMPRODUCT(--(VI_TRI_DO!$A$2:$A$1000=F7))&gt;0,SUMPRODUCT(--(BAI_DO_XE!$A$2:$A$1000=H7))&gt;0),"ĐẠT","LỆCH")</f>
        <v>ĐẠT</v>
      </c>
      <c r="X7" s="12" t="str">
        <f>IF(INDEX(VI_TRI_DO!$E$2:$E$1000,MATCH(F7,VI_TRI_DO!$A$2:$A$1000,0))=H7,"ĐẠT","LỆCH")</f>
        <v>ĐẠT</v>
      </c>
      <c r="Y7" s="12" t="str">
        <f>IF(L7="Lượt",IF(INDEX(THE_XE!$B$2:$B$1000,MATCH(B7,THE_XE!$A$2:$A$1000,0))=H7,"ĐẠT","LỆCH"),"ĐẠT")</f>
        <v>ĐẠT</v>
      </c>
      <c r="Z7" s="12" t="str">
        <f t="shared" si="9"/>
        <v>ĐẠT</v>
      </c>
      <c r="AA7" s="12" t="str">
        <f t="shared" si="10"/>
        <v>ĐẠT</v>
      </c>
      <c r="AB7" s="12" t="str">
        <f>IF(LEN(E7)=0,IF(AND(INDEX(THE_XE!$D$2:$D$1000,MATCH(B7,THE_XE!$A$2:$A$1000,0))="Hoạt động",OR(L7&lt;&gt;"Tháng",IFERROR(INDEX(VE_THANG!$H$2:$H$1000,MATCH(B7,VE_THANG!$B$2:$B$1000,0)),"")&lt;&gt;"Hết hạn")),"ĐẠT","LỆCH"),"ĐẠT")</f>
        <v>ĐẠT</v>
      </c>
      <c r="AC7" s="12" t="str">
        <f t="shared" si="11"/>
        <v>ĐẠT</v>
      </c>
    </row>
    <row r="8" spans="1:29" x14ac:dyDescent="0.2">
      <c r="A8" s="9">
        <v>7</v>
      </c>
      <c r="B8" s="16" t="s">
        <v>402</v>
      </c>
      <c r="C8" s="16" t="s">
        <v>488</v>
      </c>
      <c r="D8" s="23">
        <f t="shared" si="0"/>
        <v>46273.25</v>
      </c>
      <c r="E8" s="23">
        <f t="shared" si="1"/>
        <v>46273.75</v>
      </c>
      <c r="F8" s="16" t="s">
        <v>356</v>
      </c>
      <c r="G8" s="19">
        <f t="shared" si="2"/>
        <v>0</v>
      </c>
      <c r="H8" s="16" t="s">
        <v>194</v>
      </c>
      <c r="I8" s="6">
        <v>46273.25</v>
      </c>
      <c r="J8" s="6">
        <v>46273.75</v>
      </c>
      <c r="K8" s="9"/>
      <c r="L8" s="12" t="str">
        <f>INDEX(THE_XE!$C$2:$C$1000,MATCH(B8,THE_XE!$A$2:$A$1000,0))</f>
        <v>Tháng</v>
      </c>
      <c r="M8" s="12" t="str">
        <f>INDEX(VI_TRI_DO!$D$2:$D$1000,MATCH(F8,VI_TRI_DO!$A$2:$A$1000,0))</f>
        <v>OT</v>
      </c>
      <c r="N8" s="19">
        <f>SUMIFS(LOAI_XE!$D$2:$D$1000,LOAI_XE!$A$2:$A$1000,M8,LOAI_XE!$B$2:$B$1000,H8)</f>
        <v>25000</v>
      </c>
      <c r="O8" s="23">
        <f t="shared" si="3"/>
        <v>46273.75</v>
      </c>
      <c r="P8" s="17">
        <f t="shared" si="4"/>
        <v>720</v>
      </c>
      <c r="Q8" s="17">
        <f t="shared" si="5"/>
        <v>12</v>
      </c>
      <c r="R8" s="19">
        <f t="shared" si="6"/>
        <v>0</v>
      </c>
      <c r="S8" s="12" t="str">
        <f>IFERROR(INDEX(VE_THANG!$I$2:$I$1000,MATCH(B8,VE_THANG!$B$2:$B$1000,0)),"")</f>
        <v>BAI_TB</v>
      </c>
      <c r="T8" s="12" t="str">
        <f>IFERROR(INDEX(VE_THANG!$D$2:$D$1000,MATCH(B8,VE_THANG!$B$2:$B$1000,0)),"")</f>
        <v>51K-246.80</v>
      </c>
      <c r="U8" s="12" t="str">
        <f t="shared" si="7"/>
        <v/>
      </c>
      <c r="V8" s="12" t="str">
        <f t="shared" si="8"/>
        <v>ĐẠT</v>
      </c>
      <c r="W8" s="12" t="str">
        <f>IF(AND(SUMPRODUCT(--(THE_XE!$A$2:$A$1000=B8))&gt;0,SUMPRODUCT(--(VI_TRI_DO!$A$2:$A$1000=F8))&gt;0,SUMPRODUCT(--(BAI_DO_XE!$A$2:$A$1000=H8))&gt;0),"ĐẠT","LỆCH")</f>
        <v>ĐẠT</v>
      </c>
      <c r="X8" s="12" t="str">
        <f>IF(INDEX(VI_TRI_DO!$E$2:$E$1000,MATCH(F8,VI_TRI_DO!$A$2:$A$1000,0))=H8,"ĐẠT","LỆCH")</f>
        <v>ĐẠT</v>
      </c>
      <c r="Y8" s="12" t="str">
        <f>IF(L8="Lượt",IF(INDEX(THE_XE!$B$2:$B$1000,MATCH(B8,THE_XE!$A$2:$A$1000,0))=H8,"ĐẠT","LỆCH"),"ĐẠT")</f>
        <v>ĐẠT</v>
      </c>
      <c r="Z8" s="12" t="str">
        <f t="shared" si="9"/>
        <v>ĐẠT</v>
      </c>
      <c r="AA8" s="12" t="str">
        <f t="shared" si="10"/>
        <v>ĐẠT</v>
      </c>
      <c r="AB8" s="12" t="str">
        <f>IF(LEN(E8)=0,IF(AND(INDEX(THE_XE!$D$2:$D$1000,MATCH(B8,THE_XE!$A$2:$A$1000,0))="Hoạt động",OR(L8&lt;&gt;"Tháng",IFERROR(INDEX(VE_THANG!$H$2:$H$1000,MATCH(B8,VE_THANG!$B$2:$B$1000,0)),"")&lt;&gt;"Hết hạn")),"ĐẠT","LỆCH"),"ĐẠT")</f>
        <v>ĐẠT</v>
      </c>
      <c r="AC8" s="12" t="str">
        <f t="shared" si="11"/>
        <v>ĐẠT</v>
      </c>
    </row>
    <row r="9" spans="1:29" x14ac:dyDescent="0.2">
      <c r="A9" s="9">
        <v>8</v>
      </c>
      <c r="B9" s="16" t="s">
        <v>406</v>
      </c>
      <c r="C9" s="16" t="s">
        <v>527</v>
      </c>
      <c r="D9" s="23">
        <f t="shared" si="0"/>
        <v>46272.75</v>
      </c>
      <c r="E9" s="23">
        <f t="shared" si="1"/>
        <v>46272.90625</v>
      </c>
      <c r="F9" s="16" t="s">
        <v>350</v>
      </c>
      <c r="G9" s="19">
        <f t="shared" si="2"/>
        <v>20000</v>
      </c>
      <c r="H9" s="16" t="s">
        <v>191</v>
      </c>
      <c r="I9" s="6">
        <v>46272.75</v>
      </c>
      <c r="J9" s="6">
        <v>46272.90625</v>
      </c>
      <c r="K9" s="9"/>
      <c r="L9" s="12" t="str">
        <f>INDEX(THE_XE!$C$2:$C$1000,MATCH(B9,THE_XE!$A$2:$A$1000,0))</f>
        <v>Lượt</v>
      </c>
      <c r="M9" s="12" t="str">
        <f>INDEX(VI_TRI_DO!$D$2:$D$1000,MATCH(F9,VI_TRI_DO!$A$2:$A$1000,0))</f>
        <v>XM</v>
      </c>
      <c r="N9" s="19">
        <f>SUMIFS(LOAI_XE!$D$2:$D$1000,LOAI_XE!$A$2:$A$1000,M9,LOAI_XE!$B$2:$B$1000,H9)</f>
        <v>5000</v>
      </c>
      <c r="O9" s="23">
        <f t="shared" si="3"/>
        <v>46272.90625</v>
      </c>
      <c r="P9" s="17">
        <f t="shared" si="4"/>
        <v>225</v>
      </c>
      <c r="Q9" s="17">
        <f t="shared" si="5"/>
        <v>4</v>
      </c>
      <c r="R9" s="19">
        <f t="shared" si="6"/>
        <v>20000</v>
      </c>
      <c r="S9" s="12" t="str">
        <f>IFERROR(INDEX(VE_THANG!$I$2:$I$1000,MATCH(B9,VE_THANG!$B$2:$B$1000,0)),"")</f>
        <v/>
      </c>
      <c r="T9" s="12" t="str">
        <f>IFERROR(INDEX(VE_THANG!$D$2:$D$1000,MATCH(B9,VE_THANG!$B$2:$B$1000,0)),"")</f>
        <v/>
      </c>
      <c r="U9" s="12" t="str">
        <f t="shared" si="7"/>
        <v/>
      </c>
      <c r="V9" s="12" t="str">
        <f t="shared" si="8"/>
        <v>ĐẠT</v>
      </c>
      <c r="W9" s="12" t="str">
        <f>IF(AND(SUMPRODUCT(--(THE_XE!$A$2:$A$1000=B9))&gt;0,SUMPRODUCT(--(VI_TRI_DO!$A$2:$A$1000=F9))&gt;0,SUMPRODUCT(--(BAI_DO_XE!$A$2:$A$1000=H9))&gt;0),"ĐẠT","LỆCH")</f>
        <v>ĐẠT</v>
      </c>
      <c r="X9" s="12" t="str">
        <f>IF(INDEX(VI_TRI_DO!$E$2:$E$1000,MATCH(F9,VI_TRI_DO!$A$2:$A$1000,0))=H9,"ĐẠT","LỆCH")</f>
        <v>ĐẠT</v>
      </c>
      <c r="Y9" s="12" t="str">
        <f>IF(L9="Lượt",IF(INDEX(THE_XE!$B$2:$B$1000,MATCH(B9,THE_XE!$A$2:$A$1000,0))=H9,"ĐẠT","LỆCH"),"ĐẠT")</f>
        <v>ĐẠT</v>
      </c>
      <c r="Z9" s="12" t="str">
        <f t="shared" si="9"/>
        <v>ĐẠT</v>
      </c>
      <c r="AA9" s="12" t="str">
        <f t="shared" si="10"/>
        <v>ĐẠT</v>
      </c>
      <c r="AB9" s="12" t="str">
        <f>IF(LEN(E9)=0,IF(AND(INDEX(THE_XE!$D$2:$D$1000,MATCH(B9,THE_XE!$A$2:$A$1000,0))="Hoạt động",OR(L9&lt;&gt;"Tháng",IFERROR(INDEX(VE_THANG!$H$2:$H$1000,MATCH(B9,VE_THANG!$B$2:$B$1000,0)),"")&lt;&gt;"Hết hạn")),"ĐẠT","LỆCH"),"ĐẠT")</f>
        <v>ĐẠT</v>
      </c>
      <c r="AC9" s="12" t="str">
        <f t="shared" si="11"/>
        <v>ĐẠT</v>
      </c>
    </row>
    <row r="10" spans="1:29" x14ac:dyDescent="0.2">
      <c r="A10" s="9">
        <v>9</v>
      </c>
      <c r="B10" s="16" t="s">
        <v>408</v>
      </c>
      <c r="C10" s="16" t="s">
        <v>528</v>
      </c>
      <c r="D10" s="23">
        <f t="shared" si="0"/>
        <v>46272.458333333299</v>
      </c>
      <c r="E10" s="23">
        <f t="shared" si="1"/>
        <v>46272.465277777803</v>
      </c>
      <c r="F10" s="16" t="s">
        <v>342</v>
      </c>
      <c r="G10" s="19">
        <f t="shared" si="2"/>
        <v>0</v>
      </c>
      <c r="H10" s="16" t="s">
        <v>191</v>
      </c>
      <c r="I10" s="6">
        <v>46272.458333333299</v>
      </c>
      <c r="J10" s="6">
        <v>46272.465277777803</v>
      </c>
      <c r="K10" s="9"/>
      <c r="L10" s="12" t="str">
        <f>INDEX(THE_XE!$C$2:$C$1000,MATCH(B10,THE_XE!$A$2:$A$1000,0))</f>
        <v>Lượt</v>
      </c>
      <c r="M10" s="12" t="str">
        <f>INDEX(VI_TRI_DO!$D$2:$D$1000,MATCH(F10,VI_TRI_DO!$A$2:$A$1000,0))</f>
        <v>OT</v>
      </c>
      <c r="N10" s="19">
        <f>SUMIFS(LOAI_XE!$D$2:$D$1000,LOAI_XE!$A$2:$A$1000,M10,LOAI_XE!$B$2:$B$1000,H10)</f>
        <v>20000</v>
      </c>
      <c r="O10" s="23">
        <f t="shared" si="3"/>
        <v>46272.465277777803</v>
      </c>
      <c r="P10" s="17">
        <f t="shared" si="4"/>
        <v>10</v>
      </c>
      <c r="Q10" s="17">
        <f t="shared" si="5"/>
        <v>0</v>
      </c>
      <c r="R10" s="19">
        <f t="shared" si="6"/>
        <v>0</v>
      </c>
      <c r="S10" s="12" t="str">
        <f>IFERROR(INDEX(VE_THANG!$I$2:$I$1000,MATCH(B10,VE_THANG!$B$2:$B$1000,0)),"")</f>
        <v/>
      </c>
      <c r="T10" s="12" t="str">
        <f>IFERROR(INDEX(VE_THANG!$D$2:$D$1000,MATCH(B10,VE_THANG!$B$2:$B$1000,0)),"")</f>
        <v/>
      </c>
      <c r="U10" s="12" t="str">
        <f t="shared" si="7"/>
        <v/>
      </c>
      <c r="V10" s="12" t="str">
        <f t="shared" si="8"/>
        <v>ĐẠT</v>
      </c>
      <c r="W10" s="12" t="str">
        <f>IF(AND(SUMPRODUCT(--(THE_XE!$A$2:$A$1000=B10))&gt;0,SUMPRODUCT(--(VI_TRI_DO!$A$2:$A$1000=F10))&gt;0,SUMPRODUCT(--(BAI_DO_XE!$A$2:$A$1000=H10))&gt;0),"ĐẠT","LỆCH")</f>
        <v>ĐẠT</v>
      </c>
      <c r="X10" s="12" t="str">
        <f>IF(INDEX(VI_TRI_DO!$E$2:$E$1000,MATCH(F10,VI_TRI_DO!$A$2:$A$1000,0))=H10,"ĐẠT","LỆCH")</f>
        <v>ĐẠT</v>
      </c>
      <c r="Y10" s="12" t="str">
        <f>IF(L10="Lượt",IF(INDEX(THE_XE!$B$2:$B$1000,MATCH(B10,THE_XE!$A$2:$A$1000,0))=H10,"ĐẠT","LỆCH"),"ĐẠT")</f>
        <v>ĐẠT</v>
      </c>
      <c r="Z10" s="12" t="str">
        <f t="shared" si="9"/>
        <v>ĐẠT</v>
      </c>
      <c r="AA10" s="12" t="str">
        <f t="shared" si="10"/>
        <v>ĐẠT</v>
      </c>
      <c r="AB10" s="12" t="str">
        <f>IF(LEN(E10)=0,IF(AND(INDEX(THE_XE!$D$2:$D$1000,MATCH(B10,THE_XE!$A$2:$A$1000,0))="Hoạt động",OR(L10&lt;&gt;"Tháng",IFERROR(INDEX(VE_THANG!$H$2:$H$1000,MATCH(B10,VE_THANG!$B$2:$B$1000,0)),"")&lt;&gt;"Hết hạn")),"ĐẠT","LỆCH"),"ĐẠT")</f>
        <v>ĐẠT</v>
      </c>
      <c r="AC10" s="12" t="str">
        <f t="shared" si="11"/>
        <v>ĐẠT</v>
      </c>
    </row>
    <row r="11" spans="1:29" x14ac:dyDescent="0.2">
      <c r="A11" s="9">
        <v>10</v>
      </c>
      <c r="B11" s="16" t="s">
        <v>383</v>
      </c>
      <c r="C11" s="16" t="s">
        <v>529</v>
      </c>
      <c r="D11" s="23">
        <f t="shared" si="0"/>
        <v>46296.367846724563</v>
      </c>
      <c r="E11" s="23" t="str">
        <f t="shared" si="1"/>
        <v/>
      </c>
      <c r="F11" s="16" t="s">
        <v>318</v>
      </c>
      <c r="G11" s="19">
        <f t="shared" si="2"/>
        <v>0</v>
      </c>
      <c r="H11" s="16" t="s">
        <v>185</v>
      </c>
      <c r="I11" s="6"/>
      <c r="J11" s="6"/>
      <c r="K11" s="9">
        <v>120</v>
      </c>
      <c r="L11" s="12" t="str">
        <f>INDEX(THE_XE!$C$2:$C$1000,MATCH(B11,THE_XE!$A$2:$A$1000,0))</f>
        <v>Lượt</v>
      </c>
      <c r="M11" s="12" t="str">
        <f>INDEX(VI_TRI_DO!$D$2:$D$1000,MATCH(F11,VI_TRI_DO!$A$2:$A$1000,0))</f>
        <v>XM</v>
      </c>
      <c r="N11" s="19">
        <f>SUMIFS(LOAI_XE!$D$2:$D$1000,LOAI_XE!$A$2:$A$1000,M11,LOAI_XE!$B$2:$B$1000,H11)</f>
        <v>6000</v>
      </c>
      <c r="O11" s="23">
        <f t="shared" si="3"/>
        <v>46296.451180057898</v>
      </c>
      <c r="P11" s="17">
        <f t="shared" si="4"/>
        <v>120</v>
      </c>
      <c r="Q11" s="17">
        <f t="shared" si="5"/>
        <v>2</v>
      </c>
      <c r="R11" s="19">
        <f t="shared" si="6"/>
        <v>12000</v>
      </c>
      <c r="S11" s="12" t="str">
        <f>IFERROR(INDEX(VE_THANG!$I$2:$I$1000,MATCH(B11,VE_THANG!$B$2:$B$1000,0)),"")</f>
        <v/>
      </c>
      <c r="T11" s="12" t="str">
        <f>IFERROR(INDEX(VE_THANG!$D$2:$D$1000,MATCH(B11,VE_THANG!$B$2:$B$1000,0)),"")</f>
        <v/>
      </c>
      <c r="U11" s="12" t="str">
        <f t="shared" si="7"/>
        <v/>
      </c>
      <c r="V11" s="12" t="str">
        <f t="shared" si="8"/>
        <v>ĐẠT</v>
      </c>
      <c r="W11" s="12" t="str">
        <f>IF(AND(SUMPRODUCT(--(THE_XE!$A$2:$A$1000=B11))&gt;0,SUMPRODUCT(--(VI_TRI_DO!$A$2:$A$1000=F11))&gt;0,SUMPRODUCT(--(BAI_DO_XE!$A$2:$A$1000=H11))&gt;0),"ĐẠT","LỆCH")</f>
        <v>ĐẠT</v>
      </c>
      <c r="X11" s="12" t="str">
        <f>IF(INDEX(VI_TRI_DO!$E$2:$E$1000,MATCH(F11,VI_TRI_DO!$A$2:$A$1000,0))=H11,"ĐẠT","LỆCH")</f>
        <v>ĐẠT</v>
      </c>
      <c r="Y11" s="12" t="str">
        <f>IF(L11="Lượt",IF(INDEX(THE_XE!$B$2:$B$1000,MATCH(B11,THE_XE!$A$2:$A$1000,0))=H11,"ĐẠT","LỆCH"),"ĐẠT")</f>
        <v>ĐẠT</v>
      </c>
      <c r="Z11" s="12" t="str">
        <f t="shared" si="9"/>
        <v>ĐẠT</v>
      </c>
      <c r="AA11" s="12" t="str">
        <f t="shared" si="10"/>
        <v>ĐẠT</v>
      </c>
      <c r="AB11" s="12" t="str">
        <f>IF(LEN(E11)=0,IF(AND(INDEX(THE_XE!$D$2:$D$1000,MATCH(B11,THE_XE!$A$2:$A$1000,0))="Hoạt động",OR(L11&lt;&gt;"Tháng",IFERROR(INDEX(VE_THANG!$H$2:$H$1000,MATCH(B11,VE_THANG!$B$2:$B$1000,0)),"")&lt;&gt;"Hết hạn")),"ĐẠT","LỆCH"),"ĐẠT")</f>
        <v>ĐẠT</v>
      </c>
      <c r="AC11" s="12" t="str">
        <f t="shared" si="11"/>
        <v>ĐẠT</v>
      </c>
    </row>
    <row r="12" spans="1:29" x14ac:dyDescent="0.2">
      <c r="A12" s="9">
        <v>11</v>
      </c>
      <c r="B12" s="16" t="s">
        <v>385</v>
      </c>
      <c r="C12" s="16" t="s">
        <v>476</v>
      </c>
      <c r="D12" s="23">
        <f t="shared" si="0"/>
        <v>46296.284513391234</v>
      </c>
      <c r="E12" s="23" t="str">
        <f t="shared" si="1"/>
        <v/>
      </c>
      <c r="F12" s="16" t="s">
        <v>319</v>
      </c>
      <c r="G12" s="19">
        <f t="shared" si="2"/>
        <v>0</v>
      </c>
      <c r="H12" s="16" t="s">
        <v>185</v>
      </c>
      <c r="I12" s="6"/>
      <c r="J12" s="6"/>
      <c r="K12" s="9">
        <v>240</v>
      </c>
      <c r="L12" s="12" t="str">
        <f>INDEX(THE_XE!$C$2:$C$1000,MATCH(B12,THE_XE!$A$2:$A$1000,0))</f>
        <v>Tháng</v>
      </c>
      <c r="M12" s="12" t="str">
        <f>INDEX(VI_TRI_DO!$D$2:$D$1000,MATCH(F12,VI_TRI_DO!$A$2:$A$1000,0))</f>
        <v>XM</v>
      </c>
      <c r="N12" s="19">
        <f>SUMIFS(LOAI_XE!$D$2:$D$1000,LOAI_XE!$A$2:$A$1000,M12,LOAI_XE!$B$2:$B$1000,H12)</f>
        <v>6000</v>
      </c>
      <c r="O12" s="23">
        <f t="shared" si="3"/>
        <v>46296.451180057898</v>
      </c>
      <c r="P12" s="17">
        <f t="shared" si="4"/>
        <v>240</v>
      </c>
      <c r="Q12" s="17">
        <f t="shared" si="5"/>
        <v>4</v>
      </c>
      <c r="R12" s="19">
        <f t="shared" si="6"/>
        <v>0</v>
      </c>
      <c r="S12" s="12" t="str">
        <f>IFERROR(INDEX(VE_THANG!$I$2:$I$1000,MATCH(B12,VE_THANG!$B$2:$B$1000,0)),"")</f>
        <v>BAI_Q1</v>
      </c>
      <c r="T12" s="12" t="str">
        <f>IFERROR(INDEX(VE_THANG!$D$2:$D$1000,MATCH(B12,VE_THANG!$B$2:$B$1000,0)),"")</f>
        <v>59A-123.45</v>
      </c>
      <c r="U12" s="12" t="str">
        <f t="shared" si="7"/>
        <v/>
      </c>
      <c r="V12" s="12" t="str">
        <f t="shared" si="8"/>
        <v>ĐẠT</v>
      </c>
      <c r="W12" s="12" t="str">
        <f>IF(AND(SUMPRODUCT(--(THE_XE!$A$2:$A$1000=B12))&gt;0,SUMPRODUCT(--(VI_TRI_DO!$A$2:$A$1000=F12))&gt;0,SUMPRODUCT(--(BAI_DO_XE!$A$2:$A$1000=H12))&gt;0),"ĐẠT","LỆCH")</f>
        <v>ĐẠT</v>
      </c>
      <c r="X12" s="12" t="str">
        <f>IF(INDEX(VI_TRI_DO!$E$2:$E$1000,MATCH(F12,VI_TRI_DO!$A$2:$A$1000,0))=H12,"ĐẠT","LỆCH")</f>
        <v>ĐẠT</v>
      </c>
      <c r="Y12" s="12" t="str">
        <f>IF(L12="Lượt",IF(INDEX(THE_XE!$B$2:$B$1000,MATCH(B12,THE_XE!$A$2:$A$1000,0))=H12,"ĐẠT","LỆCH"),"ĐẠT")</f>
        <v>ĐẠT</v>
      </c>
      <c r="Z12" s="12" t="str">
        <f t="shared" si="9"/>
        <v>ĐẠT</v>
      </c>
      <c r="AA12" s="12" t="str">
        <f t="shared" si="10"/>
        <v>ĐẠT</v>
      </c>
      <c r="AB12" s="12" t="str">
        <f>IF(LEN(E12)=0,IF(AND(INDEX(THE_XE!$D$2:$D$1000,MATCH(B12,THE_XE!$A$2:$A$1000,0))="Hoạt động",OR(L12&lt;&gt;"Tháng",IFERROR(INDEX(VE_THANG!$H$2:$H$1000,MATCH(B12,VE_THANG!$B$2:$B$1000,0)),"")&lt;&gt;"Hết hạn")),"ĐẠT","LỆCH"),"ĐẠT")</f>
        <v>ĐẠT</v>
      </c>
      <c r="AC12" s="12" t="str">
        <f t="shared" si="11"/>
        <v>ĐẠT</v>
      </c>
    </row>
    <row r="13" spans="1:29" x14ac:dyDescent="0.2">
      <c r="A13" s="9">
        <v>12</v>
      </c>
      <c r="B13" s="16" t="s">
        <v>392</v>
      </c>
      <c r="C13" s="16" t="s">
        <v>530</v>
      </c>
      <c r="D13" s="23">
        <f t="shared" si="0"/>
        <v>46296.409513391234</v>
      </c>
      <c r="E13" s="23" t="str">
        <f t="shared" si="1"/>
        <v/>
      </c>
      <c r="F13" s="16" t="s">
        <v>335</v>
      </c>
      <c r="G13" s="19">
        <f t="shared" si="2"/>
        <v>0</v>
      </c>
      <c r="H13" s="16" t="s">
        <v>188</v>
      </c>
      <c r="I13" s="6"/>
      <c r="J13" s="6"/>
      <c r="K13" s="9">
        <v>60</v>
      </c>
      <c r="L13" s="12" t="str">
        <f>INDEX(THE_XE!$C$2:$C$1000,MATCH(B13,THE_XE!$A$2:$A$1000,0))</f>
        <v>Lượt</v>
      </c>
      <c r="M13" s="12" t="str">
        <f>INDEX(VI_TRI_DO!$D$2:$D$1000,MATCH(F13,VI_TRI_DO!$A$2:$A$1000,0))</f>
        <v>XM</v>
      </c>
      <c r="N13" s="19">
        <f>SUMIFS(LOAI_XE!$D$2:$D$1000,LOAI_XE!$A$2:$A$1000,M13,LOAI_XE!$B$2:$B$1000,H13)</f>
        <v>5000</v>
      </c>
      <c r="O13" s="23">
        <f t="shared" si="3"/>
        <v>46296.451180057898</v>
      </c>
      <c r="P13" s="17">
        <f t="shared" si="4"/>
        <v>60</v>
      </c>
      <c r="Q13" s="17">
        <f t="shared" si="5"/>
        <v>1</v>
      </c>
      <c r="R13" s="19">
        <f t="shared" si="6"/>
        <v>5000</v>
      </c>
      <c r="S13" s="12" t="str">
        <f>IFERROR(INDEX(VE_THANG!$I$2:$I$1000,MATCH(B13,VE_THANG!$B$2:$B$1000,0)),"")</f>
        <v/>
      </c>
      <c r="T13" s="12" t="str">
        <f>IFERROR(INDEX(VE_THANG!$D$2:$D$1000,MATCH(B13,VE_THANG!$B$2:$B$1000,0)),"")</f>
        <v/>
      </c>
      <c r="U13" s="12" t="str">
        <f t="shared" si="7"/>
        <v/>
      </c>
      <c r="V13" s="12" t="str">
        <f t="shared" si="8"/>
        <v>ĐẠT</v>
      </c>
      <c r="W13" s="12" t="str">
        <f>IF(AND(SUMPRODUCT(--(THE_XE!$A$2:$A$1000=B13))&gt;0,SUMPRODUCT(--(VI_TRI_DO!$A$2:$A$1000=F13))&gt;0,SUMPRODUCT(--(BAI_DO_XE!$A$2:$A$1000=H13))&gt;0),"ĐẠT","LỆCH")</f>
        <v>ĐẠT</v>
      </c>
      <c r="X13" s="12" t="str">
        <f>IF(INDEX(VI_TRI_DO!$E$2:$E$1000,MATCH(F13,VI_TRI_DO!$A$2:$A$1000,0))=H13,"ĐẠT","LỆCH")</f>
        <v>ĐẠT</v>
      </c>
      <c r="Y13" s="12" t="str">
        <f>IF(L13="Lượt",IF(INDEX(THE_XE!$B$2:$B$1000,MATCH(B13,THE_XE!$A$2:$A$1000,0))=H13,"ĐẠT","LỆCH"),"ĐẠT")</f>
        <v>ĐẠT</v>
      </c>
      <c r="Z13" s="12" t="str">
        <f t="shared" si="9"/>
        <v>ĐẠT</v>
      </c>
      <c r="AA13" s="12" t="str">
        <f t="shared" si="10"/>
        <v>ĐẠT</v>
      </c>
      <c r="AB13" s="12" t="str">
        <f>IF(LEN(E13)=0,IF(AND(INDEX(THE_XE!$D$2:$D$1000,MATCH(B13,THE_XE!$A$2:$A$1000,0))="Hoạt động",OR(L13&lt;&gt;"Tháng",IFERROR(INDEX(VE_THANG!$H$2:$H$1000,MATCH(B13,VE_THANG!$B$2:$B$1000,0)),"")&lt;&gt;"Hết hạn")),"ĐẠT","LỆCH"),"ĐẠT")</f>
        <v>ĐẠT</v>
      </c>
      <c r="AC13" s="12" t="str">
        <f t="shared" si="11"/>
        <v>ĐẠT</v>
      </c>
    </row>
    <row r="14" spans="1:29" x14ac:dyDescent="0.2">
      <c r="A14" s="9">
        <v>13</v>
      </c>
      <c r="B14" s="16" t="s">
        <v>398</v>
      </c>
      <c r="C14" s="16" t="s">
        <v>531</v>
      </c>
      <c r="D14" s="23">
        <f t="shared" si="0"/>
        <v>46296.326180057898</v>
      </c>
      <c r="E14" s="23" t="str">
        <f t="shared" si="1"/>
        <v/>
      </c>
      <c r="F14" s="16" t="s">
        <v>289</v>
      </c>
      <c r="G14" s="19">
        <f t="shared" si="2"/>
        <v>0</v>
      </c>
      <c r="H14" s="16" t="s">
        <v>182</v>
      </c>
      <c r="I14" s="6"/>
      <c r="J14" s="6"/>
      <c r="K14" s="9">
        <v>180</v>
      </c>
      <c r="L14" s="12" t="str">
        <f>INDEX(THE_XE!$C$2:$C$1000,MATCH(B14,THE_XE!$A$2:$A$1000,0))</f>
        <v>Lượt</v>
      </c>
      <c r="M14" s="12" t="str">
        <f>INDEX(VI_TRI_DO!$D$2:$D$1000,MATCH(F14,VI_TRI_DO!$A$2:$A$1000,0))</f>
        <v>OT</v>
      </c>
      <c r="N14" s="19">
        <f>SUMIFS(LOAI_XE!$D$2:$D$1000,LOAI_XE!$A$2:$A$1000,M14,LOAI_XE!$B$2:$B$1000,H14)</f>
        <v>30000</v>
      </c>
      <c r="O14" s="23">
        <f t="shared" si="3"/>
        <v>46296.451180057898</v>
      </c>
      <c r="P14" s="17">
        <f t="shared" si="4"/>
        <v>180</v>
      </c>
      <c r="Q14" s="17">
        <f t="shared" si="5"/>
        <v>3</v>
      </c>
      <c r="R14" s="19">
        <f t="shared" si="6"/>
        <v>90000</v>
      </c>
      <c r="S14" s="12" t="str">
        <f>IFERROR(INDEX(VE_THANG!$I$2:$I$1000,MATCH(B14,VE_THANG!$B$2:$B$1000,0)),"")</f>
        <v/>
      </c>
      <c r="T14" s="12" t="str">
        <f>IFERROR(INDEX(VE_THANG!$D$2:$D$1000,MATCH(B14,VE_THANG!$B$2:$B$1000,0)),"")</f>
        <v/>
      </c>
      <c r="U14" s="12" t="str">
        <f t="shared" si="7"/>
        <v/>
      </c>
      <c r="V14" s="12" t="str">
        <f t="shared" si="8"/>
        <v>ĐẠT</v>
      </c>
      <c r="W14" s="12" t="str">
        <f>IF(AND(SUMPRODUCT(--(THE_XE!$A$2:$A$1000=B14))&gt;0,SUMPRODUCT(--(VI_TRI_DO!$A$2:$A$1000=F14))&gt;0,SUMPRODUCT(--(BAI_DO_XE!$A$2:$A$1000=H14))&gt;0),"ĐẠT","LỆCH")</f>
        <v>ĐẠT</v>
      </c>
      <c r="X14" s="12" t="str">
        <f>IF(INDEX(VI_TRI_DO!$E$2:$E$1000,MATCH(F14,VI_TRI_DO!$A$2:$A$1000,0))=H14,"ĐẠT","LỆCH")</f>
        <v>ĐẠT</v>
      </c>
      <c r="Y14" s="12" t="str">
        <f>IF(L14="Lượt",IF(INDEX(THE_XE!$B$2:$B$1000,MATCH(B14,THE_XE!$A$2:$A$1000,0))=H14,"ĐẠT","LỆCH"),"ĐẠT")</f>
        <v>ĐẠT</v>
      </c>
      <c r="Z14" s="12" t="str">
        <f t="shared" si="9"/>
        <v>ĐẠT</v>
      </c>
      <c r="AA14" s="12" t="str">
        <f t="shared" si="10"/>
        <v>ĐẠT</v>
      </c>
      <c r="AB14" s="12" t="str">
        <f>IF(LEN(E14)=0,IF(AND(INDEX(THE_XE!$D$2:$D$1000,MATCH(B14,THE_XE!$A$2:$A$1000,0))="Hoạt động",OR(L14&lt;&gt;"Tháng",IFERROR(INDEX(VE_THANG!$H$2:$H$1000,MATCH(B14,VE_THANG!$B$2:$B$1000,0)),"")&lt;&gt;"Hết hạn")),"ĐẠT","LỆCH"),"ĐẠT")</f>
        <v>ĐẠT</v>
      </c>
      <c r="AC14" s="12" t="str">
        <f t="shared" si="11"/>
        <v>ĐẠT</v>
      </c>
    </row>
    <row r="15" spans="1:29" x14ac:dyDescent="0.2">
      <c r="A15" s="9">
        <v>14</v>
      </c>
      <c r="B15" s="16" t="s">
        <v>401</v>
      </c>
      <c r="C15" s="16" t="s">
        <v>532</v>
      </c>
      <c r="D15" s="23">
        <f t="shared" si="0"/>
        <v>46296.388680057898</v>
      </c>
      <c r="E15" s="23" t="str">
        <f t="shared" si="1"/>
        <v/>
      </c>
      <c r="F15" s="16" t="s">
        <v>367</v>
      </c>
      <c r="G15" s="19">
        <f t="shared" si="2"/>
        <v>0</v>
      </c>
      <c r="H15" s="16" t="s">
        <v>194</v>
      </c>
      <c r="I15" s="6"/>
      <c r="J15" s="6"/>
      <c r="K15" s="9">
        <v>90</v>
      </c>
      <c r="L15" s="12" t="str">
        <f>INDEX(THE_XE!$C$2:$C$1000,MATCH(B15,THE_XE!$A$2:$A$1000,0))</f>
        <v>Lượt</v>
      </c>
      <c r="M15" s="12" t="str">
        <f>INDEX(VI_TRI_DO!$D$2:$D$1000,MATCH(F15,VI_TRI_DO!$A$2:$A$1000,0))</f>
        <v>XM</v>
      </c>
      <c r="N15" s="19">
        <f>SUMIFS(LOAI_XE!$D$2:$D$1000,LOAI_XE!$A$2:$A$1000,M15,LOAI_XE!$B$2:$B$1000,H15)</f>
        <v>5000</v>
      </c>
      <c r="O15" s="23">
        <f t="shared" si="3"/>
        <v>46296.451180057898</v>
      </c>
      <c r="P15" s="17">
        <f t="shared" si="4"/>
        <v>90</v>
      </c>
      <c r="Q15" s="17">
        <f t="shared" si="5"/>
        <v>2</v>
      </c>
      <c r="R15" s="19">
        <f t="shared" si="6"/>
        <v>10000</v>
      </c>
      <c r="S15" s="12" t="str">
        <f>IFERROR(INDEX(VE_THANG!$I$2:$I$1000,MATCH(B15,VE_THANG!$B$2:$B$1000,0)),"")</f>
        <v/>
      </c>
      <c r="T15" s="12" t="str">
        <f>IFERROR(INDEX(VE_THANG!$D$2:$D$1000,MATCH(B15,VE_THANG!$B$2:$B$1000,0)),"")</f>
        <v/>
      </c>
      <c r="U15" s="12" t="str">
        <f t="shared" si="7"/>
        <v/>
      </c>
      <c r="V15" s="12" t="str">
        <f t="shared" si="8"/>
        <v>ĐẠT</v>
      </c>
      <c r="W15" s="12" t="str">
        <f>IF(AND(SUMPRODUCT(--(THE_XE!$A$2:$A$1000=B15))&gt;0,SUMPRODUCT(--(VI_TRI_DO!$A$2:$A$1000=F15))&gt;0,SUMPRODUCT(--(BAI_DO_XE!$A$2:$A$1000=H15))&gt;0),"ĐẠT","LỆCH")</f>
        <v>ĐẠT</v>
      </c>
      <c r="X15" s="12" t="str">
        <f>IF(INDEX(VI_TRI_DO!$E$2:$E$1000,MATCH(F15,VI_TRI_DO!$A$2:$A$1000,0))=H15,"ĐẠT","LỆCH")</f>
        <v>ĐẠT</v>
      </c>
      <c r="Y15" s="12" t="str">
        <f>IF(L15="Lượt",IF(INDEX(THE_XE!$B$2:$B$1000,MATCH(B15,THE_XE!$A$2:$A$1000,0))=H15,"ĐẠT","LỆCH"),"ĐẠT")</f>
        <v>ĐẠT</v>
      </c>
      <c r="Z15" s="12" t="str">
        <f t="shared" si="9"/>
        <v>ĐẠT</v>
      </c>
      <c r="AA15" s="12" t="str">
        <f t="shared" si="10"/>
        <v>ĐẠT</v>
      </c>
      <c r="AB15" s="12" t="str">
        <f>IF(LEN(E15)=0,IF(AND(INDEX(THE_XE!$D$2:$D$1000,MATCH(B15,THE_XE!$A$2:$A$1000,0))="Hoạt động",OR(L15&lt;&gt;"Tháng",IFERROR(INDEX(VE_THANG!$H$2:$H$1000,MATCH(B15,VE_THANG!$B$2:$B$1000,0)),"")&lt;&gt;"Hết hạn")),"ĐẠT","LỆCH"),"ĐẠT")</f>
        <v>ĐẠT</v>
      </c>
      <c r="AC15" s="12" t="str">
        <f t="shared" si="11"/>
        <v>ĐẠT</v>
      </c>
    </row>
    <row r="16" spans="1:29" x14ac:dyDescent="0.2">
      <c r="A16" s="9">
        <v>15</v>
      </c>
      <c r="B16" s="16" t="s">
        <v>404</v>
      </c>
      <c r="C16" s="16" t="s">
        <v>490</v>
      </c>
      <c r="D16" s="23">
        <f t="shared" si="0"/>
        <v>46296.242846724563</v>
      </c>
      <c r="E16" s="23" t="str">
        <f t="shared" si="1"/>
        <v/>
      </c>
      <c r="F16" s="16" t="s">
        <v>368</v>
      </c>
      <c r="G16" s="19">
        <f t="shared" si="2"/>
        <v>0</v>
      </c>
      <c r="H16" s="16" t="s">
        <v>194</v>
      </c>
      <c r="I16" s="6"/>
      <c r="J16" s="6"/>
      <c r="K16" s="9">
        <v>300</v>
      </c>
      <c r="L16" s="12" t="str">
        <f>INDEX(THE_XE!$C$2:$C$1000,MATCH(B16,THE_XE!$A$2:$A$1000,0))</f>
        <v>Tháng</v>
      </c>
      <c r="M16" s="12" t="str">
        <f>INDEX(VI_TRI_DO!$D$2:$D$1000,MATCH(F16,VI_TRI_DO!$A$2:$A$1000,0))</f>
        <v>XM</v>
      </c>
      <c r="N16" s="19">
        <f>SUMIFS(LOAI_XE!$D$2:$D$1000,LOAI_XE!$A$2:$A$1000,M16,LOAI_XE!$B$2:$B$1000,H16)</f>
        <v>5000</v>
      </c>
      <c r="O16" s="23">
        <f t="shared" si="3"/>
        <v>46296.451180057898</v>
      </c>
      <c r="P16" s="17">
        <f t="shared" si="4"/>
        <v>300</v>
      </c>
      <c r="Q16" s="17">
        <f t="shared" si="5"/>
        <v>5</v>
      </c>
      <c r="R16" s="19">
        <f t="shared" si="6"/>
        <v>0</v>
      </c>
      <c r="S16" s="12" t="str">
        <f>IFERROR(INDEX(VE_THANG!$I$2:$I$1000,MATCH(B16,VE_THANG!$B$2:$B$1000,0)),"")</f>
        <v>BAI_TB</v>
      </c>
      <c r="T16" s="12" t="str">
        <f>IFERROR(INDEX(VE_THANG!$D$2:$D$1000,MATCH(B16,VE_THANG!$B$2:$B$1000,0)),"")</f>
        <v>59P-357.91</v>
      </c>
      <c r="U16" s="12" t="str">
        <f t="shared" si="7"/>
        <v/>
      </c>
      <c r="V16" s="12" t="str">
        <f t="shared" si="8"/>
        <v>ĐẠT</v>
      </c>
      <c r="W16" s="12" t="str">
        <f>IF(AND(SUMPRODUCT(--(THE_XE!$A$2:$A$1000=B16))&gt;0,SUMPRODUCT(--(VI_TRI_DO!$A$2:$A$1000=F16))&gt;0,SUMPRODUCT(--(BAI_DO_XE!$A$2:$A$1000=H16))&gt;0),"ĐẠT","LỆCH")</f>
        <v>ĐẠT</v>
      </c>
      <c r="X16" s="12" t="str">
        <f>IF(INDEX(VI_TRI_DO!$E$2:$E$1000,MATCH(F16,VI_TRI_DO!$A$2:$A$1000,0))=H16,"ĐẠT","LỆCH")</f>
        <v>ĐẠT</v>
      </c>
      <c r="Y16" s="12" t="str">
        <f>IF(L16="Lượt",IF(INDEX(THE_XE!$B$2:$B$1000,MATCH(B16,THE_XE!$A$2:$A$1000,0))=H16,"ĐẠT","LỆCH"),"ĐẠT")</f>
        <v>ĐẠT</v>
      </c>
      <c r="Z16" s="12" t="str">
        <f t="shared" si="9"/>
        <v>ĐẠT</v>
      </c>
      <c r="AA16" s="12" t="str">
        <f t="shared" si="10"/>
        <v>ĐẠT</v>
      </c>
      <c r="AB16" s="12" t="str">
        <f>IF(LEN(E16)=0,IF(AND(INDEX(THE_XE!$D$2:$D$1000,MATCH(B16,THE_XE!$A$2:$A$1000,0))="Hoạt động",OR(L16&lt;&gt;"Tháng",IFERROR(INDEX(VE_THANG!$H$2:$H$1000,MATCH(B16,VE_THANG!$B$2:$B$1000,0)),"")&lt;&gt;"Hết hạn")),"ĐẠT","LỆCH"),"ĐẠT")</f>
        <v>ĐẠT</v>
      </c>
      <c r="AC16" s="12" t="str">
        <f t="shared" si="11"/>
        <v>ĐẠT</v>
      </c>
    </row>
    <row r="17" spans="1:29" x14ac:dyDescent="0.2">
      <c r="A17" s="9">
        <v>16</v>
      </c>
      <c r="B17" s="16" t="s">
        <v>403</v>
      </c>
      <c r="C17" s="16" t="s">
        <v>533</v>
      </c>
      <c r="D17" s="23">
        <f t="shared" si="0"/>
        <v>46296.367846724563</v>
      </c>
      <c r="E17" s="23" t="str">
        <f t="shared" si="1"/>
        <v/>
      </c>
      <c r="F17" s="16" t="s">
        <v>354</v>
      </c>
      <c r="G17" s="19">
        <f t="shared" si="2"/>
        <v>0</v>
      </c>
      <c r="H17" s="16" t="s">
        <v>194</v>
      </c>
      <c r="I17" s="6"/>
      <c r="J17" s="6"/>
      <c r="K17" s="9">
        <v>120</v>
      </c>
      <c r="L17" s="12" t="str">
        <f>INDEX(THE_XE!$C$2:$C$1000,MATCH(B17,THE_XE!$A$2:$A$1000,0))</f>
        <v>Lượt</v>
      </c>
      <c r="M17" s="12" t="str">
        <f>INDEX(VI_TRI_DO!$D$2:$D$1000,MATCH(F17,VI_TRI_DO!$A$2:$A$1000,0))</f>
        <v>OT</v>
      </c>
      <c r="N17" s="19">
        <f>SUMIFS(LOAI_XE!$D$2:$D$1000,LOAI_XE!$A$2:$A$1000,M17,LOAI_XE!$B$2:$B$1000,H17)</f>
        <v>25000</v>
      </c>
      <c r="O17" s="23">
        <f t="shared" si="3"/>
        <v>46296.451180057898</v>
      </c>
      <c r="P17" s="17">
        <f t="shared" si="4"/>
        <v>120</v>
      </c>
      <c r="Q17" s="17">
        <f t="shared" si="5"/>
        <v>2</v>
      </c>
      <c r="R17" s="19">
        <f t="shared" si="6"/>
        <v>50000</v>
      </c>
      <c r="S17" s="12" t="str">
        <f>IFERROR(INDEX(VE_THANG!$I$2:$I$1000,MATCH(B17,VE_THANG!$B$2:$B$1000,0)),"")</f>
        <v/>
      </c>
      <c r="T17" s="12" t="str">
        <f>IFERROR(INDEX(VE_THANG!$D$2:$D$1000,MATCH(B17,VE_THANG!$B$2:$B$1000,0)),"")</f>
        <v/>
      </c>
      <c r="U17" s="12" t="str">
        <f t="shared" si="7"/>
        <v/>
      </c>
      <c r="V17" s="12" t="str">
        <f t="shared" si="8"/>
        <v>ĐẠT</v>
      </c>
      <c r="W17" s="12" t="str">
        <f>IF(AND(SUMPRODUCT(--(THE_XE!$A$2:$A$1000=B17))&gt;0,SUMPRODUCT(--(VI_TRI_DO!$A$2:$A$1000=F17))&gt;0,SUMPRODUCT(--(BAI_DO_XE!$A$2:$A$1000=H17))&gt;0),"ĐẠT","LỆCH")</f>
        <v>ĐẠT</v>
      </c>
      <c r="X17" s="12" t="str">
        <f>IF(INDEX(VI_TRI_DO!$E$2:$E$1000,MATCH(F17,VI_TRI_DO!$A$2:$A$1000,0))=H17,"ĐẠT","LỆCH")</f>
        <v>ĐẠT</v>
      </c>
      <c r="Y17" s="12" t="str">
        <f>IF(L17="Lượt",IF(INDEX(THE_XE!$B$2:$B$1000,MATCH(B17,THE_XE!$A$2:$A$1000,0))=H17,"ĐẠT","LỆCH"),"ĐẠT")</f>
        <v>ĐẠT</v>
      </c>
      <c r="Z17" s="12" t="str">
        <f t="shared" si="9"/>
        <v>ĐẠT</v>
      </c>
      <c r="AA17" s="12" t="str">
        <f t="shared" si="10"/>
        <v>ĐẠT</v>
      </c>
      <c r="AB17" s="12" t="str">
        <f>IF(LEN(E17)=0,IF(AND(INDEX(THE_XE!$D$2:$D$1000,MATCH(B17,THE_XE!$A$2:$A$1000,0))="Hoạt động",OR(L17&lt;&gt;"Tháng",IFERROR(INDEX(VE_THANG!$H$2:$H$1000,MATCH(B17,VE_THANG!$B$2:$B$1000,0)),"")&lt;&gt;"Hết hạn")),"ĐẠT","LỆCH"),"ĐẠT")</f>
        <v>ĐẠT</v>
      </c>
      <c r="AC17" s="12" t="str">
        <f t="shared" si="11"/>
        <v>ĐẠT</v>
      </c>
    </row>
    <row r="18" spans="1:29" x14ac:dyDescent="0.2">
      <c r="A18" s="9">
        <v>17</v>
      </c>
      <c r="B18" s="16" t="s">
        <v>409</v>
      </c>
      <c r="C18" s="16" t="s">
        <v>494</v>
      </c>
      <c r="D18" s="23">
        <f t="shared" si="0"/>
        <v>46296.201180057898</v>
      </c>
      <c r="E18" s="23" t="str">
        <f t="shared" si="1"/>
        <v/>
      </c>
      <c r="F18" s="16" t="s">
        <v>340</v>
      </c>
      <c r="G18" s="19">
        <f t="shared" si="2"/>
        <v>0</v>
      </c>
      <c r="H18" s="16" t="s">
        <v>191</v>
      </c>
      <c r="I18" s="6"/>
      <c r="J18" s="6"/>
      <c r="K18" s="9">
        <v>360</v>
      </c>
      <c r="L18" s="12" t="str">
        <f>INDEX(THE_XE!$C$2:$C$1000,MATCH(B18,THE_XE!$A$2:$A$1000,0))</f>
        <v>Tháng</v>
      </c>
      <c r="M18" s="12" t="str">
        <f>INDEX(VI_TRI_DO!$D$2:$D$1000,MATCH(F18,VI_TRI_DO!$A$2:$A$1000,0))</f>
        <v>OT</v>
      </c>
      <c r="N18" s="19">
        <f>SUMIFS(LOAI_XE!$D$2:$D$1000,LOAI_XE!$A$2:$A$1000,M18,LOAI_XE!$B$2:$B$1000,H18)</f>
        <v>20000</v>
      </c>
      <c r="O18" s="23">
        <f t="shared" si="3"/>
        <v>46296.451180057898</v>
      </c>
      <c r="P18" s="17">
        <f t="shared" si="4"/>
        <v>360</v>
      </c>
      <c r="Q18" s="17">
        <f t="shared" si="5"/>
        <v>6</v>
      </c>
      <c r="R18" s="19">
        <f t="shared" si="6"/>
        <v>0</v>
      </c>
      <c r="S18" s="12" t="str">
        <f>IFERROR(INDEX(VE_THANG!$I$2:$I$1000,MATCH(B18,VE_THANG!$B$2:$B$1000,0)),"")</f>
        <v>BAI_Q7</v>
      </c>
      <c r="T18" s="12" t="str">
        <f>IFERROR(INDEX(VE_THANG!$D$2:$D$1000,MATCH(B18,VE_THANG!$B$2:$B$1000,0)),"")</f>
        <v>51L-802.46</v>
      </c>
      <c r="U18" s="12" t="str">
        <f t="shared" si="7"/>
        <v/>
      </c>
      <c r="V18" s="12" t="str">
        <f t="shared" si="8"/>
        <v>ĐẠT</v>
      </c>
      <c r="W18" s="12" t="str">
        <f>IF(AND(SUMPRODUCT(--(THE_XE!$A$2:$A$1000=B18))&gt;0,SUMPRODUCT(--(VI_TRI_DO!$A$2:$A$1000=F18))&gt;0,SUMPRODUCT(--(BAI_DO_XE!$A$2:$A$1000=H18))&gt;0),"ĐẠT","LỆCH")</f>
        <v>ĐẠT</v>
      </c>
      <c r="X18" s="12" t="str">
        <f>IF(INDEX(VI_TRI_DO!$E$2:$E$1000,MATCH(F18,VI_TRI_DO!$A$2:$A$1000,0))=H18,"ĐẠT","LỆCH")</f>
        <v>ĐẠT</v>
      </c>
      <c r="Y18" s="12" t="str">
        <f>IF(L18="Lượt",IF(INDEX(THE_XE!$B$2:$B$1000,MATCH(B18,THE_XE!$A$2:$A$1000,0))=H18,"ĐẠT","LỆCH"),"ĐẠT")</f>
        <v>ĐẠT</v>
      </c>
      <c r="Z18" s="12" t="str">
        <f t="shared" si="9"/>
        <v>ĐẠT</v>
      </c>
      <c r="AA18" s="12" t="str">
        <f t="shared" si="10"/>
        <v>ĐẠT</v>
      </c>
      <c r="AB18" s="12" t="str">
        <f>IF(LEN(E18)=0,IF(AND(INDEX(THE_XE!$D$2:$D$1000,MATCH(B18,THE_XE!$A$2:$A$1000,0))="Hoạt động",OR(L18&lt;&gt;"Tháng",IFERROR(INDEX(VE_THANG!$H$2:$H$1000,MATCH(B18,VE_THANG!$B$2:$B$1000,0)),"")&lt;&gt;"Hết hạn")),"ĐẠT","LỆCH"),"ĐẠT")</f>
        <v>ĐẠT</v>
      </c>
      <c r="AC18" s="12" t="str">
        <f t="shared" si="11"/>
        <v>ĐẠT</v>
      </c>
    </row>
    <row r="19" spans="1:29" x14ac:dyDescent="0.2">
      <c r="A19" s="9">
        <v>18</v>
      </c>
      <c r="B19" s="16" t="s">
        <v>406</v>
      </c>
      <c r="C19" s="16" t="s">
        <v>534</v>
      </c>
      <c r="D19" s="23">
        <f t="shared" si="0"/>
        <v>46296.409513391234</v>
      </c>
      <c r="E19" s="23" t="str">
        <f t="shared" si="1"/>
        <v/>
      </c>
      <c r="F19" s="16" t="s">
        <v>348</v>
      </c>
      <c r="G19" s="19">
        <f t="shared" si="2"/>
        <v>0</v>
      </c>
      <c r="H19" s="16" t="s">
        <v>191</v>
      </c>
      <c r="I19" s="6"/>
      <c r="J19" s="6"/>
      <c r="K19" s="9">
        <v>60</v>
      </c>
      <c r="L19" s="12" t="str">
        <f>INDEX(THE_XE!$C$2:$C$1000,MATCH(B19,THE_XE!$A$2:$A$1000,0))</f>
        <v>Lượt</v>
      </c>
      <c r="M19" s="12" t="str">
        <f>INDEX(VI_TRI_DO!$D$2:$D$1000,MATCH(F19,VI_TRI_DO!$A$2:$A$1000,0))</f>
        <v>XM</v>
      </c>
      <c r="N19" s="19">
        <f>SUMIFS(LOAI_XE!$D$2:$D$1000,LOAI_XE!$A$2:$A$1000,M19,LOAI_XE!$B$2:$B$1000,H19)</f>
        <v>5000</v>
      </c>
      <c r="O19" s="23">
        <f t="shared" si="3"/>
        <v>46296.451180057898</v>
      </c>
      <c r="P19" s="17">
        <f t="shared" si="4"/>
        <v>60</v>
      </c>
      <c r="Q19" s="17">
        <f t="shared" si="5"/>
        <v>1</v>
      </c>
      <c r="R19" s="19">
        <f t="shared" si="6"/>
        <v>5000</v>
      </c>
      <c r="S19" s="12" t="str">
        <f>IFERROR(INDEX(VE_THANG!$I$2:$I$1000,MATCH(B19,VE_THANG!$B$2:$B$1000,0)),"")</f>
        <v/>
      </c>
      <c r="T19" s="12" t="str">
        <f>IFERROR(INDEX(VE_THANG!$D$2:$D$1000,MATCH(B19,VE_THANG!$B$2:$B$1000,0)),"")</f>
        <v/>
      </c>
      <c r="U19" s="12" t="str">
        <f t="shared" si="7"/>
        <v/>
      </c>
      <c r="V19" s="12" t="str">
        <f t="shared" si="8"/>
        <v>ĐẠT</v>
      </c>
      <c r="W19" s="12" t="str">
        <f>IF(AND(SUMPRODUCT(--(THE_XE!$A$2:$A$1000=B19))&gt;0,SUMPRODUCT(--(VI_TRI_DO!$A$2:$A$1000=F19))&gt;0,SUMPRODUCT(--(BAI_DO_XE!$A$2:$A$1000=H19))&gt;0),"ĐẠT","LỆCH")</f>
        <v>ĐẠT</v>
      </c>
      <c r="X19" s="12" t="str">
        <f>IF(INDEX(VI_TRI_DO!$E$2:$E$1000,MATCH(F19,VI_TRI_DO!$A$2:$A$1000,0))=H19,"ĐẠT","LỆCH")</f>
        <v>ĐẠT</v>
      </c>
      <c r="Y19" s="12" t="str">
        <f>IF(L19="Lượt",IF(INDEX(THE_XE!$B$2:$B$1000,MATCH(B19,THE_XE!$A$2:$A$1000,0))=H19,"ĐẠT","LỆCH"),"ĐẠT")</f>
        <v>ĐẠT</v>
      </c>
      <c r="Z19" s="12" t="str">
        <f t="shared" si="9"/>
        <v>ĐẠT</v>
      </c>
      <c r="AA19" s="12" t="str">
        <f t="shared" si="10"/>
        <v>ĐẠT</v>
      </c>
      <c r="AB19" s="12" t="str">
        <f>IF(LEN(E19)=0,IF(AND(INDEX(THE_XE!$D$2:$D$1000,MATCH(B19,THE_XE!$A$2:$A$1000,0))="Hoạt động",OR(L19&lt;&gt;"Tháng",IFERROR(INDEX(VE_THANG!$H$2:$H$1000,MATCH(B19,VE_THANG!$B$2:$B$1000,0)),"")&lt;&gt;"Hết hạn")),"ĐẠT","LỆCH"),"ĐẠT")</f>
        <v>ĐẠT</v>
      </c>
      <c r="AC19" s="12" t="str">
        <f t="shared" si="11"/>
        <v>ĐẠT</v>
      </c>
    </row>
  </sheetData>
  <autoFilter ref="A1:AC19" xr:uid="{00000000-0009-0000-0000-00000D000000}"/>
  <conditionalFormatting sqref="V2:AC1000">
    <cfRule type="cellIs" dxfId="3" priority="2" operator="equal">
      <formula>"LỆCH"</formula>
    </cfRule>
    <cfRule type="cellIs" dxfId="2" priority="3" operator="equal">
      <formula>"ĐẠT"</formula>
    </cfRule>
  </conditionalFormatting>
  <dataValidations count="2">
    <dataValidation type="textLength" operator="lessThanOrEqual" showErrorMessage="1" errorTitle="Dữ liệu không hợp lệ" error="Tối đa 15 ký tự (VARCHAR/NVARCHAR(15))" sqref="C2:C1000" xr:uid="{00000000-0002-0000-0D00-000000000000}">
      <formula1>15</formula1>
      <formula2>0</formula2>
    </dataValidation>
    <dataValidation type="whole" operator="greaterThan" allowBlank="1" showErrorMessage="1" errorTitle="Dữ liệu không hợp lệ" error="Phải là số &gt; 0" sqref="K2:K1000" xr:uid="{00000000-0002-0000-0D00-000004000000}">
      <formula1>0</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3">
        <x14:dataValidation type="list" showErrorMessage="1" errorTitle="Dữ liệu không hợp lệ" error="Giá trị phải tồn tại ở THE_XE.MaThe" xr:uid="{00000000-0002-0000-0D00-000001000000}">
          <x14:formula1>
            <xm:f>THE_XE!$A$2:$A$1000</xm:f>
          </x14:formula1>
          <x14:formula2>
            <xm:f>0</xm:f>
          </x14:formula2>
          <xm:sqref>B2:B1000</xm:sqref>
        </x14:dataValidation>
        <x14:dataValidation type="list" showErrorMessage="1" errorTitle="Dữ liệu không hợp lệ" error="Giá trị phải tồn tại ở VI_TRI_DO.MaViTri" xr:uid="{00000000-0002-0000-0D00-000002000000}">
          <x14:formula1>
            <xm:f>VI_TRI_DO!$A$2:$A$1000</xm:f>
          </x14:formula1>
          <x14:formula2>
            <xm:f>0</xm:f>
          </x14:formula2>
          <xm:sqref>F2:F1000</xm:sqref>
        </x14:dataValidation>
        <x14:dataValidation type="list" showErrorMessage="1" errorTitle="Dữ liệu không hợp lệ" error="Giá trị phải tồn tại ở BAI_DO_XE.MaBai" xr:uid="{00000000-0002-0000-0D00-000003000000}">
          <x14:formula1>
            <xm:f>BAI_DO_XE!$A$2:$A$1000</xm:f>
          </x14:formula1>
          <x14:formula2>
            <xm:f>0</xm:f>
          </x14:formula2>
          <xm:sqref>H2:H1000</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5"/>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5" defaultRowHeight="15" x14ac:dyDescent="0.2"/>
  <cols>
    <col min="1" max="3" width="12" customWidth="1"/>
    <col min="4" max="4" width="21" customWidth="1"/>
    <col min="5" max="5" width="60" customWidth="1"/>
    <col min="6" max="6" width="12" customWidth="1"/>
    <col min="7" max="7" width="17" customWidth="1"/>
    <col min="8" max="8" width="12" customWidth="1"/>
    <col min="9" max="9" width="16" customWidth="1"/>
    <col min="10" max="11" width="12" customWidth="1"/>
    <col min="12" max="12" width="23" customWidth="1"/>
    <col min="13" max="13" width="19" customWidth="1"/>
    <col min="14" max="14" width="12" customWidth="1"/>
    <col min="15" max="15" width="22" customWidth="1"/>
    <col min="16" max="16" width="19" customWidth="1"/>
    <col min="17" max="17" width="17" customWidth="1"/>
  </cols>
  <sheetData>
    <row r="1" spans="1:17" ht="33.75" customHeight="1" x14ac:dyDescent="0.2">
      <c r="A1" s="13" t="s">
        <v>535</v>
      </c>
      <c r="B1" s="13" t="s">
        <v>373</v>
      </c>
      <c r="C1" s="13" t="s">
        <v>464</v>
      </c>
      <c r="D1" s="13" t="s">
        <v>536</v>
      </c>
      <c r="E1" s="13" t="s">
        <v>537</v>
      </c>
      <c r="F1" s="14" t="s">
        <v>538</v>
      </c>
      <c r="G1" s="13" t="s">
        <v>539</v>
      </c>
      <c r="H1" s="13" t="s">
        <v>170</v>
      </c>
      <c r="I1" s="20" t="s">
        <v>540</v>
      </c>
      <c r="J1" s="15" t="s">
        <v>541</v>
      </c>
      <c r="K1" s="15" t="s">
        <v>171</v>
      </c>
      <c r="L1" s="15" t="s">
        <v>542</v>
      </c>
      <c r="M1" s="15" t="s">
        <v>161</v>
      </c>
      <c r="N1" s="15" t="s">
        <v>121</v>
      </c>
      <c r="O1" s="15" t="s">
        <v>164</v>
      </c>
      <c r="P1" s="15" t="s">
        <v>166</v>
      </c>
      <c r="Q1" s="15" t="s">
        <v>125</v>
      </c>
    </row>
    <row r="2" spans="1:17" x14ac:dyDescent="0.2">
      <c r="A2" s="9">
        <v>1</v>
      </c>
      <c r="B2" s="16" t="s">
        <v>390</v>
      </c>
      <c r="C2" s="16" t="s">
        <v>543</v>
      </c>
      <c r="D2" s="6">
        <v>46037.458333333299</v>
      </c>
      <c r="E2" s="16" t="s">
        <v>544</v>
      </c>
      <c r="F2" s="19">
        <f>IF(J2="Có",PhatMatThe,I2)</f>
        <v>50000</v>
      </c>
      <c r="G2" s="16" t="s">
        <v>545</v>
      </c>
      <c r="H2" s="16" t="s">
        <v>185</v>
      </c>
      <c r="I2" s="10"/>
      <c r="J2" s="12" t="str">
        <f>IF(ISNUMBER(SEARCH("mất thẻ",E2)),"Có","")</f>
        <v>Có</v>
      </c>
      <c r="K2" s="12" t="str">
        <f>INDEX(BAI_DO_XE!$B$2:$B$1000,MATCH(H2,BAI_DO_XE!$A$2:$A$1000,0))</f>
        <v>Bãi xe Lê Lai - Bến Thành</v>
      </c>
      <c r="L2" s="12" t="str">
        <f>IF(LEN(B2)=0,"",INDEX(THE_XE!$D$2:$D$1000,MATCH(B2,THE_XE!$A$2:$A$1000,0)))</f>
        <v>Mất</v>
      </c>
      <c r="M2" s="12" t="str">
        <f>IF(A2=ROW()-1,"ĐẠT","LỆCH")</f>
        <v>ĐẠT</v>
      </c>
      <c r="N2" s="12" t="str">
        <f>IF(AND(OR(LEN(B2)=0,SUMPRODUCT(--(THE_XE!$A$2:$A$1000=B2))&gt;0),SUMPRODUCT(--(BAI_DO_XE!$A$2:$A$1000=H2))&gt;0),"ĐẠT","LỆCH")</f>
        <v>ĐẠT</v>
      </c>
      <c r="O2" s="12" t="str">
        <f>IF(F2&gt;=0,"ĐẠT","LỆCH")</f>
        <v>ĐẠT</v>
      </c>
      <c r="P2" s="12" t="str">
        <f>IF(J2="Có",IF(L2="Mất","ĐẠT","LỆCH"),"ĐẠT")</f>
        <v>ĐẠT</v>
      </c>
      <c r="Q2" s="12" t="str">
        <f>IF(LEN(B2)=0,"ĐẠT",IF(INDEX(THE_XE!$B$2:$B$1000,MATCH(B2,THE_XE!$A$2:$A$1000,0))=H2,"ĐẠT","LỆCH"))</f>
        <v>ĐẠT</v>
      </c>
    </row>
    <row r="3" spans="1:17" x14ac:dyDescent="0.2">
      <c r="A3" s="9">
        <v>2</v>
      </c>
      <c r="B3" s="16"/>
      <c r="C3" s="16" t="s">
        <v>546</v>
      </c>
      <c r="D3" s="6">
        <v>46063.770833333299</v>
      </c>
      <c r="E3" s="16" t="s">
        <v>547</v>
      </c>
      <c r="F3" s="19">
        <f>IF(J3="Có",PhatMatThe,I3)</f>
        <v>200000</v>
      </c>
      <c r="G3" s="16" t="s">
        <v>545</v>
      </c>
      <c r="H3" s="16" t="s">
        <v>188</v>
      </c>
      <c r="I3" s="10">
        <v>200000</v>
      </c>
      <c r="J3" s="12" t="str">
        <f>IF(ISNUMBER(SEARCH("mất thẻ",E3)),"Có","")</f>
        <v/>
      </c>
      <c r="K3" s="12" t="str">
        <f>INDEX(BAI_DO_XE!$B$2:$B$1000,MATCH(H3,BAI_DO_XE!$A$2:$A$1000,0))</f>
        <v>Bãi xe Hai Bà Trưng</v>
      </c>
      <c r="L3" s="12" t="str">
        <f>IF(LEN(B3)=0,"",INDEX(THE_XE!$D$2:$D$1000,MATCH(B3,THE_XE!$A$2:$A$1000,0)))</f>
        <v/>
      </c>
      <c r="M3" s="12" t="str">
        <f>IF(A3=ROW()-1,"ĐẠT","LỆCH")</f>
        <v>ĐẠT</v>
      </c>
      <c r="N3" s="12" t="str">
        <f>IF(AND(OR(LEN(B3)=0,SUMPRODUCT(--(THE_XE!$A$2:$A$1000=B3))&gt;0),SUMPRODUCT(--(BAI_DO_XE!$A$2:$A$1000=H3))&gt;0),"ĐẠT","LỆCH")</f>
        <v>ĐẠT</v>
      </c>
      <c r="O3" s="12" t="str">
        <f>IF(F3&gt;=0,"ĐẠT","LỆCH")</f>
        <v>ĐẠT</v>
      </c>
      <c r="P3" s="12" t="str">
        <f>IF(J3="Có",IF(L3="Mất","ĐẠT","LỆCH"),"ĐẠT")</f>
        <v>ĐẠT</v>
      </c>
      <c r="Q3" s="12" t="str">
        <f>IF(LEN(B3)=0,"ĐẠT",IF(INDEX(THE_XE!$B$2:$B$1000,MATCH(B3,THE_XE!$A$2:$A$1000,0))=H3,"ĐẠT","LỆCH"))</f>
        <v>ĐẠT</v>
      </c>
    </row>
    <row r="4" spans="1:17" x14ac:dyDescent="0.2">
      <c r="A4" s="9">
        <v>3</v>
      </c>
      <c r="B4" s="16"/>
      <c r="C4" s="16" t="s">
        <v>526</v>
      </c>
      <c r="D4" s="6">
        <v>46272.420138888898</v>
      </c>
      <c r="E4" s="16" t="s">
        <v>548</v>
      </c>
      <c r="F4" s="19">
        <f>IF(J4="Có",PhatMatThe,I4)</f>
        <v>300000</v>
      </c>
      <c r="G4" s="16" t="s">
        <v>549</v>
      </c>
      <c r="H4" s="16" t="s">
        <v>194</v>
      </c>
      <c r="I4" s="10">
        <v>300000</v>
      </c>
      <c r="J4" s="12" t="str">
        <f>IF(ISNUMBER(SEARCH("mất thẻ",E4)),"Có","")</f>
        <v/>
      </c>
      <c r="K4" s="12" t="str">
        <f>INDEX(BAI_DO_XE!$B$2:$B$1000,MATCH(H4,BAI_DO_XE!$A$2:$A$1000,0))</f>
        <v>Bãi xe TCP Park - Sân bay Tân Sơn Nhất</v>
      </c>
      <c r="L4" s="12" t="str">
        <f>IF(LEN(B4)=0,"",INDEX(THE_XE!$D$2:$D$1000,MATCH(B4,THE_XE!$A$2:$A$1000,0)))</f>
        <v/>
      </c>
      <c r="M4" s="12" t="str">
        <f>IF(A4=ROW()-1,"ĐẠT","LỆCH")</f>
        <v>ĐẠT</v>
      </c>
      <c r="N4" s="12" t="str">
        <f>IF(AND(OR(LEN(B4)=0,SUMPRODUCT(--(THE_XE!$A$2:$A$1000=B4))&gt;0),SUMPRODUCT(--(BAI_DO_XE!$A$2:$A$1000=H4))&gt;0),"ĐẠT","LỆCH")</f>
        <v>ĐẠT</v>
      </c>
      <c r="O4" s="12" t="str">
        <f>IF(F4&gt;=0,"ĐẠT","LỆCH")</f>
        <v>ĐẠT</v>
      </c>
      <c r="P4" s="12" t="str">
        <f>IF(J4="Có",IF(L4="Mất","ĐẠT","LỆCH"),"ĐẠT")</f>
        <v>ĐẠT</v>
      </c>
      <c r="Q4" s="12" t="str">
        <f>IF(LEN(B4)=0,"ĐẠT",IF(INDEX(THE_XE!$B$2:$B$1000,MATCH(B4,THE_XE!$A$2:$A$1000,0))=H4,"ĐẠT","LỆCH"))</f>
        <v>ĐẠT</v>
      </c>
    </row>
    <row r="5" spans="1:17" x14ac:dyDescent="0.2">
      <c r="A5" s="9">
        <v>4</v>
      </c>
      <c r="B5" s="16" t="s">
        <v>410</v>
      </c>
      <c r="C5" s="16"/>
      <c r="D5" s="6">
        <v>46254.84375</v>
      </c>
      <c r="E5" s="16" t="s">
        <v>550</v>
      </c>
      <c r="F5" s="19">
        <f>IF(J5="Có",PhatMatThe,I5)</f>
        <v>50000</v>
      </c>
      <c r="G5" s="16" t="s">
        <v>545</v>
      </c>
      <c r="H5" s="16" t="s">
        <v>191</v>
      </c>
      <c r="I5" s="10"/>
      <c r="J5" s="12" t="str">
        <f>IF(ISNUMBER(SEARCH("mất thẻ",E5)),"Có","")</f>
        <v>Có</v>
      </c>
      <c r="K5" s="12" t="str">
        <f>INDEX(BAI_DO_XE!$B$2:$B$1000,MATCH(H5,BAI_DO_XE!$A$2:$A$1000,0))</f>
        <v>Bãi xe SC VivoCity</v>
      </c>
      <c r="L5" s="12" t="str">
        <f>IF(LEN(B5)=0,"",INDEX(THE_XE!$D$2:$D$1000,MATCH(B5,THE_XE!$A$2:$A$1000,0)))</f>
        <v>Mất</v>
      </c>
      <c r="M5" s="12" t="str">
        <f>IF(A5=ROW()-1,"ĐẠT","LỆCH")</f>
        <v>ĐẠT</v>
      </c>
      <c r="N5" s="12" t="str">
        <f>IF(AND(OR(LEN(B5)=0,SUMPRODUCT(--(THE_XE!$A$2:$A$1000=B5))&gt;0),SUMPRODUCT(--(BAI_DO_XE!$A$2:$A$1000=H5))&gt;0),"ĐẠT","LỆCH")</f>
        <v>ĐẠT</v>
      </c>
      <c r="O5" s="12" t="str">
        <f>IF(F5&gt;=0,"ĐẠT","LỆCH")</f>
        <v>ĐẠT</v>
      </c>
      <c r="P5" s="12" t="str">
        <f>IF(J5="Có",IF(L5="Mất","ĐẠT","LỆCH"),"ĐẠT")</f>
        <v>ĐẠT</v>
      </c>
      <c r="Q5" s="12" t="str">
        <f>IF(LEN(B5)=0,"ĐẠT",IF(INDEX(THE_XE!$B$2:$B$1000,MATCH(B5,THE_XE!$A$2:$A$1000,0))=H5,"ĐẠT","LỆCH"))</f>
        <v>ĐẠT</v>
      </c>
    </row>
  </sheetData>
  <autoFilter ref="A1:Q5" xr:uid="{00000000-0009-0000-0000-00000E000000}"/>
  <conditionalFormatting sqref="M2:Q1000">
    <cfRule type="cellIs" dxfId="1" priority="2" operator="equal">
      <formula>"LỆCH"</formula>
    </cfRule>
    <cfRule type="cellIs" dxfId="0" priority="3" operator="equal">
      <formula>"ĐẠT"</formula>
    </cfRule>
  </conditionalFormatting>
  <dataValidations count="3">
    <dataValidation type="textLength" operator="lessThanOrEqual" showErrorMessage="1" errorTitle="Dữ liệu không hợp lệ" error="Tối đa 500 ký tự (VARCHAR/NVARCHAR(500))" sqref="E2:E1000" xr:uid="{00000000-0002-0000-0E00-000000000000}">
      <formula1>500</formula1>
      <formula2>0</formula2>
    </dataValidation>
    <dataValidation type="textLength" operator="lessThanOrEqual" allowBlank="1" showErrorMessage="1" errorTitle="Dữ liệu không hợp lệ" error="Tối đa 15 ký tự (VARCHAR/NVARCHAR(15))" sqref="C2:C1000" xr:uid="{00000000-0002-0000-0E00-000001000000}">
      <formula1>15</formula1>
      <formula2>0</formula2>
    </dataValidation>
    <dataValidation type="list" showErrorMessage="1" errorTitle="Dữ liệu không hợp lệ" error="Chỉ chọn: Chờ xử lý, Đang giải quyết, Đã giải quyết" sqref="G2:G1000" xr:uid="{00000000-0002-0000-0E00-000002000000}">
      <formula1>"Chờ xử lý,Đang giải quyết,Đã giải quyết"</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allowBlank="1" showErrorMessage="1" errorTitle="Dữ liệu không hợp lệ" error="Giá trị phải tồn tại ở THE_XE.MaThe" xr:uid="{00000000-0002-0000-0E00-000003000000}">
          <x14:formula1>
            <xm:f>THE_XE!$A$2:$A$1000</xm:f>
          </x14:formula1>
          <x14:formula2>
            <xm:f>0</xm:f>
          </x14:formula2>
          <xm:sqref>B2:B1000</xm:sqref>
        </x14:dataValidation>
        <x14:dataValidation type="list" showErrorMessage="1" errorTitle="Dữ liệu không hợp lệ" error="Giá trị phải tồn tại ở BAI_DO_XE.MaBai" xr:uid="{00000000-0002-0000-0E00-000004000000}">
          <x14:formula1>
            <xm:f>BAI_DO_XE!$A$2:$A$1000</xm:f>
          </x14:formula1>
          <x14:formula2>
            <xm:f>0</xm:f>
          </x14:formula2>
          <xm:sqref>H2:H1000</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6"/>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5" defaultRowHeight="15" x14ac:dyDescent="0.2"/>
  <cols>
    <col min="1" max="1" width="14" customWidth="1"/>
    <col min="2" max="6" width="24" customWidth="1"/>
  </cols>
  <sheetData>
    <row r="1" spans="1:6" ht="33.75" customHeight="1" x14ac:dyDescent="0.2">
      <c r="A1" s="13" t="s">
        <v>170</v>
      </c>
      <c r="B1" s="15" t="s">
        <v>171</v>
      </c>
      <c r="C1" s="15" t="s">
        <v>173</v>
      </c>
      <c r="D1" s="15" t="s">
        <v>174</v>
      </c>
      <c r="E1" s="15" t="s">
        <v>175</v>
      </c>
      <c r="F1" s="15" t="s">
        <v>551</v>
      </c>
    </row>
    <row r="2" spans="1:6" x14ac:dyDescent="0.2">
      <c r="A2" s="16" t="s">
        <v>182</v>
      </c>
      <c r="B2" s="25" t="str">
        <f>INDEX(BAI_DO_XE!$B$2:$B$1000,MATCH($A2,BAI_DO_XE!$A$2:$A$1000,0))</f>
        <v>Bãi xe Landmark 81</v>
      </c>
      <c r="C2" s="26">
        <f>INDEX(BAI_DO_XE!$D$2:$D$1000,MATCH($A2,BAI_DO_XE!$A$2:$A$1000,0))</f>
        <v>12</v>
      </c>
      <c r="D2" s="26">
        <f>INDEX(BAI_DO_XE!$E$2:$E$1000,MATCH($A2,BAI_DO_XE!$A$2:$A$1000,0))</f>
        <v>1</v>
      </c>
      <c r="E2" s="17">
        <f>C2-D2</f>
        <v>11</v>
      </c>
      <c r="F2" s="27">
        <f>ROUND(D2*100/C2,2)</f>
        <v>8.33</v>
      </c>
    </row>
    <row r="3" spans="1:6" x14ac:dyDescent="0.2">
      <c r="A3" s="16" t="s">
        <v>185</v>
      </c>
      <c r="B3" s="25" t="str">
        <f>INDEX(BAI_DO_XE!$B$2:$B$1000,MATCH($A3,BAI_DO_XE!$A$2:$A$1000,0))</f>
        <v>Bãi xe Lê Lai - Bến Thành</v>
      </c>
      <c r="C3" s="26">
        <f>INDEX(BAI_DO_XE!$D$2:$D$1000,MATCH($A3,BAI_DO_XE!$A$2:$A$1000,0))</f>
        <v>12</v>
      </c>
      <c r="D3" s="26">
        <f>INDEX(BAI_DO_XE!$E$2:$E$1000,MATCH($A3,BAI_DO_XE!$A$2:$A$1000,0))</f>
        <v>2</v>
      </c>
      <c r="E3" s="17">
        <f>C3-D3</f>
        <v>10</v>
      </c>
      <c r="F3" s="27">
        <f>ROUND(D3*100/C3,2)</f>
        <v>16.670000000000002</v>
      </c>
    </row>
    <row r="4" spans="1:6" x14ac:dyDescent="0.2">
      <c r="A4" s="16" t="s">
        <v>188</v>
      </c>
      <c r="B4" s="25" t="str">
        <f>INDEX(BAI_DO_XE!$B$2:$B$1000,MATCH($A4,BAI_DO_XE!$A$2:$A$1000,0))</f>
        <v>Bãi xe Hai Bà Trưng</v>
      </c>
      <c r="C4" s="26">
        <f>INDEX(BAI_DO_XE!$D$2:$D$1000,MATCH($A4,BAI_DO_XE!$A$2:$A$1000,0))</f>
        <v>10</v>
      </c>
      <c r="D4" s="26">
        <f>INDEX(BAI_DO_XE!$E$2:$E$1000,MATCH($A4,BAI_DO_XE!$A$2:$A$1000,0))</f>
        <v>1</v>
      </c>
      <c r="E4" s="17">
        <f>C4-D4</f>
        <v>9</v>
      </c>
      <c r="F4" s="27">
        <f>ROUND(D4*100/C4,2)</f>
        <v>10</v>
      </c>
    </row>
    <row r="5" spans="1:6" x14ac:dyDescent="0.2">
      <c r="A5" s="16" t="s">
        <v>191</v>
      </c>
      <c r="B5" s="25" t="str">
        <f>INDEX(BAI_DO_XE!$B$2:$B$1000,MATCH($A5,BAI_DO_XE!$A$2:$A$1000,0))</f>
        <v>Bãi xe SC VivoCity</v>
      </c>
      <c r="C5" s="26">
        <f>INDEX(BAI_DO_XE!$D$2:$D$1000,MATCH($A5,BAI_DO_XE!$A$2:$A$1000,0))</f>
        <v>12</v>
      </c>
      <c r="D5" s="26">
        <f>INDEX(BAI_DO_XE!$E$2:$E$1000,MATCH($A5,BAI_DO_XE!$A$2:$A$1000,0))</f>
        <v>2</v>
      </c>
      <c r="E5" s="17">
        <f>C5-D5</f>
        <v>10</v>
      </c>
      <c r="F5" s="27">
        <f>ROUND(D5*100/C5,2)</f>
        <v>16.670000000000002</v>
      </c>
    </row>
    <row r="6" spans="1:6" x14ac:dyDescent="0.2">
      <c r="A6" s="16" t="s">
        <v>194</v>
      </c>
      <c r="B6" s="25" t="str">
        <f>INDEX(BAI_DO_XE!$B$2:$B$1000,MATCH($A6,BAI_DO_XE!$A$2:$A$1000,0))</f>
        <v>Bãi xe TCP Park - Sân bay Tân Sơn Nhất</v>
      </c>
      <c r="C6" s="26">
        <f>INDEX(BAI_DO_XE!$D$2:$D$1000,MATCH($A6,BAI_DO_XE!$A$2:$A$1000,0))</f>
        <v>14</v>
      </c>
      <c r="D6" s="26">
        <f>INDEX(BAI_DO_XE!$E$2:$E$1000,MATCH($A6,BAI_DO_XE!$A$2:$A$1000,0))</f>
        <v>3</v>
      </c>
      <c r="E6" s="17">
        <f>C6-D6</f>
        <v>11</v>
      </c>
      <c r="F6" s="27">
        <f>ROUND(D6*100/C6,2)</f>
        <v>21.43</v>
      </c>
    </row>
  </sheetData>
  <autoFilter ref="A1:F6" xr:uid="{00000000-0009-0000-0000-00000F000000}"/>
  <pageMargins left="0.75" right="0.75" top="1" bottom="1" header="0.511811023622047" footer="0.511811023622047"/>
  <pageSetup paperSize="9"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6"/>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5" defaultRowHeight="15" x14ac:dyDescent="0.2"/>
  <cols>
    <col min="1" max="1" width="14" customWidth="1"/>
    <col min="2" max="7" width="24" customWidth="1"/>
  </cols>
  <sheetData>
    <row r="1" spans="1:7" ht="33.75" customHeight="1" x14ac:dyDescent="0.2">
      <c r="A1" s="13" t="s">
        <v>170</v>
      </c>
      <c r="B1" s="15" t="s">
        <v>171</v>
      </c>
      <c r="C1" s="15" t="s">
        <v>177</v>
      </c>
      <c r="D1" s="15" t="s">
        <v>178</v>
      </c>
      <c r="E1" s="15" t="s">
        <v>179</v>
      </c>
      <c r="F1" s="15" t="s">
        <v>180</v>
      </c>
      <c r="G1" s="15" t="s">
        <v>552</v>
      </c>
    </row>
    <row r="2" spans="1:7" x14ac:dyDescent="0.2">
      <c r="A2" s="16" t="s">
        <v>182</v>
      </c>
      <c r="B2" s="25" t="str">
        <f>INDEX(BAI_DO_XE!$B$2:$B$1000,MATCH($A2,BAI_DO_XE!$A$2:$A$1000,0))</f>
        <v>Bãi xe Landmark 81</v>
      </c>
      <c r="C2" s="28">
        <f>INDEX(BAI_DO_XE!$H$2:$H$1000,MATCH($A2,BAI_DO_XE!$A$2:$A$1000,0))</f>
        <v>77000</v>
      </c>
      <c r="D2" s="28">
        <f>INDEX(BAI_DO_XE!$I$2:$I$1000,MATCH($A2,BAI_DO_XE!$A$2:$A$1000,0))</f>
        <v>28800000</v>
      </c>
      <c r="E2" s="19">
        <f>C2+D2</f>
        <v>28877000</v>
      </c>
      <c r="F2" s="12" t="str">
        <f>IF(E2&gt;=NguongDoanhThuRatCao,"Hiệu quả rất cao (Doanh thu &gt; 10 triệu)",IF(E2&gt;=NguongDoanhThuTot,"Hiệu quả tốt","Cần đẩy mạnh khai thác thêm lượt gửi"))</f>
        <v>Hiệu quả rất cao (Doanh thu &gt; 10 triệu)</v>
      </c>
      <c r="G2" s="17">
        <f>RANK(E2,$E$2:$E$6,0)</f>
        <v>1</v>
      </c>
    </row>
    <row r="3" spans="1:7" x14ac:dyDescent="0.2">
      <c r="A3" s="16" t="s">
        <v>194</v>
      </c>
      <c r="B3" s="25" t="str">
        <f>INDEX(BAI_DO_XE!$B$2:$B$1000,MATCH($A3,BAI_DO_XE!$A$2:$A$1000,0))</f>
        <v>Bãi xe TCP Park - Sân bay Tân Sơn Nhất</v>
      </c>
      <c r="C3" s="28">
        <f>INDEX(BAI_DO_XE!$H$2:$H$1000,MATCH($A3,BAI_DO_XE!$A$2:$A$1000,0))</f>
        <v>165000</v>
      </c>
      <c r="D3" s="28">
        <f>INDEX(BAI_DO_XE!$I$2:$I$1000,MATCH($A3,BAI_DO_XE!$A$2:$A$1000,0))</f>
        <v>19400000</v>
      </c>
      <c r="E3" s="19">
        <f>C3+D3</f>
        <v>19565000</v>
      </c>
      <c r="F3" s="12" t="str">
        <f>IF(E3&gt;=NguongDoanhThuRatCao,"Hiệu quả rất cao (Doanh thu &gt; 10 triệu)",IF(E3&gt;=NguongDoanhThuTot,"Hiệu quả tốt","Cần đẩy mạnh khai thác thêm lượt gửi"))</f>
        <v>Hiệu quả rất cao (Doanh thu &gt; 10 triệu)</v>
      </c>
      <c r="G3" s="17">
        <f>RANK(E3,$E$2:$E$6,0)</f>
        <v>2</v>
      </c>
    </row>
    <row r="4" spans="1:7" x14ac:dyDescent="0.2">
      <c r="A4" s="16" t="s">
        <v>185</v>
      </c>
      <c r="B4" s="25" t="str">
        <f>INDEX(BAI_DO_XE!$B$2:$B$1000,MATCH($A4,BAI_DO_XE!$A$2:$A$1000,0))</f>
        <v>Bãi xe Lê Lai - Bến Thành</v>
      </c>
      <c r="C4" s="28">
        <f>INDEX(BAI_DO_XE!$H$2:$H$1000,MATCH($A4,BAI_DO_XE!$A$2:$A$1000,0))</f>
        <v>174000</v>
      </c>
      <c r="D4" s="28">
        <f>INDEX(BAI_DO_XE!$I$2:$I$1000,MATCH($A4,BAI_DO_XE!$A$2:$A$1000,0))</f>
        <v>18360000</v>
      </c>
      <c r="E4" s="19">
        <f>C4+D4</f>
        <v>18534000</v>
      </c>
      <c r="F4" s="12" t="str">
        <f>IF(E4&gt;=NguongDoanhThuRatCao,"Hiệu quả rất cao (Doanh thu &gt; 10 triệu)",IF(E4&gt;=NguongDoanhThuTot,"Hiệu quả tốt","Cần đẩy mạnh khai thác thêm lượt gửi"))</f>
        <v>Hiệu quả rất cao (Doanh thu &gt; 10 triệu)</v>
      </c>
      <c r="G4" s="17">
        <f>RANK(E4,$E$2:$E$6,0)</f>
        <v>3</v>
      </c>
    </row>
    <row r="5" spans="1:7" x14ac:dyDescent="0.2">
      <c r="A5" s="16" t="s">
        <v>188</v>
      </c>
      <c r="B5" s="25" t="str">
        <f>INDEX(BAI_DO_XE!$B$2:$B$1000,MATCH($A5,BAI_DO_XE!$A$2:$A$1000,0))</f>
        <v>Bãi xe Hai Bà Trưng</v>
      </c>
      <c r="C5" s="28">
        <f>INDEX(BAI_DO_XE!$H$2:$H$1000,MATCH($A5,BAI_DO_XE!$A$2:$A$1000,0))</f>
        <v>15000</v>
      </c>
      <c r="D5" s="28">
        <f>INDEX(BAI_DO_XE!$I$2:$I$1000,MATCH($A5,BAI_DO_XE!$A$2:$A$1000,0))</f>
        <v>15150000</v>
      </c>
      <c r="E5" s="19">
        <f>C5+D5</f>
        <v>15165000</v>
      </c>
      <c r="F5" s="12" t="str">
        <f>IF(E5&gt;=NguongDoanhThuRatCao,"Hiệu quả rất cao (Doanh thu &gt; 10 triệu)",IF(E5&gt;=NguongDoanhThuTot,"Hiệu quả tốt","Cần đẩy mạnh khai thác thêm lượt gửi"))</f>
        <v>Hiệu quả rất cao (Doanh thu &gt; 10 triệu)</v>
      </c>
      <c r="G5" s="17">
        <f>RANK(E5,$E$2:$E$6,0)</f>
        <v>4</v>
      </c>
    </row>
    <row r="6" spans="1:7" x14ac:dyDescent="0.2">
      <c r="A6" s="16" t="s">
        <v>191</v>
      </c>
      <c r="B6" s="25" t="str">
        <f>INDEX(BAI_DO_XE!$B$2:$B$1000,MATCH($A6,BAI_DO_XE!$A$2:$A$1000,0))</f>
        <v>Bãi xe SC VivoCity</v>
      </c>
      <c r="C6" s="28">
        <f>INDEX(BAI_DO_XE!$H$2:$H$1000,MATCH($A6,BAI_DO_XE!$A$2:$A$1000,0))</f>
        <v>20000</v>
      </c>
      <c r="D6" s="28">
        <f>INDEX(BAI_DO_XE!$I$2:$I$1000,MATCH($A6,BAI_DO_XE!$A$2:$A$1000,0))</f>
        <v>11220000</v>
      </c>
      <c r="E6" s="19">
        <f>C6+D6</f>
        <v>11240000</v>
      </c>
      <c r="F6" s="12" t="str">
        <f>IF(E6&gt;=NguongDoanhThuRatCao,"Hiệu quả rất cao (Doanh thu &gt; 10 triệu)",IF(E6&gt;=NguongDoanhThuTot,"Hiệu quả tốt","Cần đẩy mạnh khai thác thêm lượt gửi"))</f>
        <v>Hiệu quả rất cao (Doanh thu &gt; 10 triệu)</v>
      </c>
      <c r="G6" s="17">
        <f>RANK(E6,$E$2:$E$6,0)</f>
        <v>5</v>
      </c>
    </row>
  </sheetData>
  <autoFilter ref="A1:G6" xr:uid="{00000000-0009-0000-0000-000010000000}"/>
  <pageMargins left="0.75" right="0.75" top="1" bottom="1" header="0.511811023622047" footer="0.511811023622047"/>
  <pageSetup paperSize="9"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1"/>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5" defaultRowHeight="15" x14ac:dyDescent="0.2"/>
  <cols>
    <col min="1" max="1" width="14" customWidth="1"/>
    <col min="2" max="9" width="24" customWidth="1"/>
  </cols>
  <sheetData>
    <row r="1" spans="1:9" ht="33.75" customHeight="1" x14ac:dyDescent="0.2">
      <c r="A1" s="13" t="s">
        <v>378</v>
      </c>
      <c r="B1" s="15" t="s">
        <v>373</v>
      </c>
      <c r="C1" s="15" t="s">
        <v>470</v>
      </c>
      <c r="D1" s="15" t="s">
        <v>464</v>
      </c>
      <c r="E1" s="15" t="s">
        <v>467</v>
      </c>
      <c r="F1" s="15" t="s">
        <v>466</v>
      </c>
      <c r="G1" s="15" t="s">
        <v>472</v>
      </c>
      <c r="H1" s="15" t="s">
        <v>473</v>
      </c>
      <c r="I1" s="15" t="s">
        <v>474</v>
      </c>
    </row>
    <row r="2" spans="1:9" x14ac:dyDescent="0.2">
      <c r="A2" s="16" t="s">
        <v>479</v>
      </c>
      <c r="B2" s="25" t="str">
        <f>INDEX(VE_THANG!$B$2:$B$1000,MATCH($A2,VE_THANG!$A$2:$A$1000,0))</f>
        <v>THE0008</v>
      </c>
      <c r="C2" s="25" t="str">
        <f>INDEX(VE_THANG!$L$2:$L$1000,MATCH($A2,VE_THANG!$A$2:$A$1000,0))</f>
        <v>Lê Hoàng Long</v>
      </c>
      <c r="D2" s="25" t="str">
        <f>INDEX(VE_THANG!$D$2:$D$1000,MATCH($A2,VE_THANG!$A$2:$A$1000,0))</f>
        <v>59B-456.78</v>
      </c>
      <c r="E2" s="25" t="str">
        <f>INDEX(VE_THANG!$I$2:$I$1000,MATCH($A2,VE_THANG!$A$2:$A$1000,0))</f>
        <v>BAI_Q3</v>
      </c>
      <c r="F2" s="29">
        <f>INDEX(VE_THANG!$G$2:$G$1000,MATCH($A2,VE_THANG!$A$2:$A$1000,0))</f>
        <v>46056</v>
      </c>
      <c r="G2" s="26">
        <f>INDEX(VE_THANG!$N$2:$N$1000,MATCH($A2,VE_THANG!$A$2:$A$1000,0))</f>
        <v>-240</v>
      </c>
      <c r="H2" s="25" t="str">
        <f>INDEX(VE_THANG!$O$2:$O$1000,MATCH($A2,VE_THANG!$A$2:$A$1000,0))</f>
        <v>ĐÃ QUÁ HẠN: Tự động khóa thẻ và đổi trạng thái hết hạn</v>
      </c>
      <c r="I2" s="25" t="str">
        <f>INDEX(VE_THANG!$P$2:$P$1000,MATCH($A2,VE_THANG!$A$2:$A$1000,0))</f>
        <v>Có</v>
      </c>
    </row>
    <row r="3" spans="1:9" x14ac:dyDescent="0.2">
      <c r="A3" s="16" t="s">
        <v>491</v>
      </c>
      <c r="B3" s="25" t="str">
        <f>INDEX(VE_THANG!$B$2:$B$1000,MATCH($A3,VE_THANG!$A$2:$A$1000,0))</f>
        <v>THE0022</v>
      </c>
      <c r="C3" s="25" t="str">
        <f>INDEX(VE_THANG!$L$2:$L$1000,MATCH($A3,VE_THANG!$A$2:$A$1000,0))</f>
        <v>Châu Minh Khang</v>
      </c>
      <c r="D3" s="25" t="str">
        <f>INDEX(VE_THANG!$D$2:$D$1000,MATCH($A3,VE_THANG!$A$2:$A$1000,0))</f>
        <v>59N-147.25</v>
      </c>
      <c r="E3" s="25" t="str">
        <f>INDEX(VE_THANG!$I$2:$I$1000,MATCH($A3,VE_THANG!$A$2:$A$1000,0))</f>
        <v>BAI_Q7</v>
      </c>
      <c r="F3" s="29">
        <f>INDEX(VE_THANG!$G$2:$G$1000,MATCH($A3,VE_THANG!$A$2:$A$1000,0))</f>
        <v>46218</v>
      </c>
      <c r="G3" s="26">
        <f>INDEX(VE_THANG!$N$2:$N$1000,MATCH($A3,VE_THANG!$A$2:$A$1000,0))</f>
        <v>-78</v>
      </c>
      <c r="H3" s="25" t="str">
        <f>INDEX(VE_THANG!$O$2:$O$1000,MATCH($A3,VE_THANG!$A$2:$A$1000,0))</f>
        <v>ĐÃ QUÁ HẠN: Tự động khóa thẻ và đổi trạng thái hết hạn</v>
      </c>
      <c r="I3" s="25" t="str">
        <f>INDEX(VE_THANG!$P$2:$P$1000,MATCH($A3,VE_THANG!$A$2:$A$1000,0))</f>
        <v>Có</v>
      </c>
    </row>
    <row r="4" spans="1:9" x14ac:dyDescent="0.2">
      <c r="A4" s="16" t="s">
        <v>489</v>
      </c>
      <c r="B4" s="25" t="str">
        <f>INDEX(VE_THANG!$B$2:$B$1000,MATCH($A4,VE_THANG!$A$2:$A$1000,0))</f>
        <v>THE0019</v>
      </c>
      <c r="C4" s="25" t="str">
        <f>INDEX(VE_THANG!$L$2:$L$1000,MATCH($A4,VE_THANG!$A$2:$A$1000,0))</f>
        <v>Lý Ngọc Hân</v>
      </c>
      <c r="D4" s="25" t="str">
        <f>INDEX(VE_THANG!$D$2:$D$1000,MATCH($A4,VE_THANG!$A$2:$A$1000,0))</f>
        <v>59P-357.91</v>
      </c>
      <c r="E4" s="25" t="str">
        <f>INDEX(VE_THANG!$I$2:$I$1000,MATCH($A4,VE_THANG!$A$2:$A$1000,0))</f>
        <v>BAI_TB</v>
      </c>
      <c r="F4" s="29">
        <f>INDEX(VE_THANG!$G$2:$G$1000,MATCH($A4,VE_THANG!$A$2:$A$1000,0))</f>
        <v>46298</v>
      </c>
      <c r="G4" s="26">
        <f>INDEX(VE_THANG!$N$2:$N$1000,MATCH($A4,VE_THANG!$A$2:$A$1000,0))</f>
        <v>2</v>
      </c>
      <c r="H4" s="25" t="str">
        <f>INDEX(VE_THANG!$O$2:$O$1000,MATCH($A4,VE_THANG!$A$2:$A$1000,0))</f>
        <v>CẢNH BÁO: Sắp hết hạn trong 2 ngày. Gửi SMS/Email nhắc nộp phí.</v>
      </c>
      <c r="I4" s="25" t="str">
        <f>INDEX(VE_THANG!$P$2:$P$1000,MATCH($A4,VE_THANG!$A$2:$A$1000,0))</f>
        <v>Có</v>
      </c>
    </row>
    <row r="5" spans="1:9" x14ac:dyDescent="0.2">
      <c r="A5" s="16" t="s">
        <v>477</v>
      </c>
      <c r="B5" s="25" t="str">
        <f>INDEX(VE_THANG!$B$2:$B$1000,MATCH($A5,VE_THANG!$A$2:$A$1000,0))</f>
        <v>THE0004</v>
      </c>
      <c r="C5" s="25" t="str">
        <f>INDEX(VE_THANG!$L$2:$L$1000,MATCH($A5,VE_THANG!$A$2:$A$1000,0))</f>
        <v>Trần Thị Mai</v>
      </c>
      <c r="D5" s="25" t="str">
        <f>INDEX(VE_THANG!$D$2:$D$1000,MATCH($A5,VE_THANG!$A$2:$A$1000,0))</f>
        <v>51G-888.99</v>
      </c>
      <c r="E5" s="25" t="str">
        <f>INDEX(VE_THANG!$I$2:$I$1000,MATCH($A5,VE_THANG!$A$2:$A$1000,0))</f>
        <v>BAI_Q1</v>
      </c>
      <c r="F5" s="29">
        <f>INDEX(VE_THANG!$G$2:$G$1000,MATCH($A5,VE_THANG!$A$2:$A$1000,0))</f>
        <v>46305</v>
      </c>
      <c r="G5" s="26">
        <f>INDEX(VE_THANG!$N$2:$N$1000,MATCH($A5,VE_THANG!$A$2:$A$1000,0))</f>
        <v>9</v>
      </c>
      <c r="H5" s="25" t="str">
        <f>INDEX(VE_THANG!$O$2:$O$1000,MATCH($A5,VE_THANG!$A$2:$A$1000,0))</f>
        <v>Còn hạn an toàn</v>
      </c>
      <c r="I5" s="25" t="str">
        <f>INDEX(VE_THANG!$P$2:$P$1000,MATCH($A5,VE_THANG!$A$2:$A$1000,0))</f>
        <v/>
      </c>
    </row>
    <row r="6" spans="1:9" x14ac:dyDescent="0.2">
      <c r="A6" s="16" t="s">
        <v>482</v>
      </c>
      <c r="B6" s="25" t="str">
        <f>INDEX(VE_THANG!$B$2:$B$1000,MATCH($A6,VE_THANG!$A$2:$A$1000,0))</f>
        <v>THE0010</v>
      </c>
      <c r="C6" s="25" t="str">
        <f>INDEX(VE_THANG!$L$2:$L$1000,MATCH($A6,VE_THANG!$A$2:$A$1000,0))</f>
        <v>Phạm Thu Trang</v>
      </c>
      <c r="D6" s="25" t="str">
        <f>INDEX(VE_THANG!$D$2:$D$1000,MATCH($A6,VE_THANG!$A$2:$A$1000,0))</f>
        <v>51H-999.11</v>
      </c>
      <c r="E6" s="25" t="str">
        <f>INDEX(VE_THANG!$I$2:$I$1000,MATCH($A6,VE_THANG!$A$2:$A$1000,0))</f>
        <v>ALL</v>
      </c>
      <c r="F6" s="29">
        <f>INDEX(VE_THANG!$G$2:$G$1000,MATCH($A6,VE_THANG!$A$2:$A$1000,0))</f>
        <v>46334</v>
      </c>
      <c r="G6" s="26">
        <f>INDEX(VE_THANG!$N$2:$N$1000,MATCH($A6,VE_THANG!$A$2:$A$1000,0))</f>
        <v>38</v>
      </c>
      <c r="H6" s="25" t="str">
        <f>INDEX(VE_THANG!$O$2:$O$1000,MATCH($A6,VE_THANG!$A$2:$A$1000,0))</f>
        <v>Còn hạn an toàn</v>
      </c>
      <c r="I6" s="25" t="str">
        <f>INDEX(VE_THANG!$P$2:$P$1000,MATCH($A6,VE_THANG!$A$2:$A$1000,0))</f>
        <v/>
      </c>
    </row>
    <row r="7" spans="1:9" x14ac:dyDescent="0.2">
      <c r="A7" s="16" t="s">
        <v>493</v>
      </c>
      <c r="B7" s="25" t="str">
        <f>INDEX(VE_THANG!$B$2:$B$1000,MATCH($A7,VE_THANG!$A$2:$A$1000,0))</f>
        <v>THE0024</v>
      </c>
      <c r="C7" s="25" t="str">
        <f>INDEX(VE_THANG!$L$2:$L$1000,MATCH($A7,VE_THANG!$A$2:$A$1000,0))</f>
        <v>Tạ Thị Kim Oanh</v>
      </c>
      <c r="D7" s="25" t="str">
        <f>INDEX(VE_THANG!$D$2:$D$1000,MATCH($A7,VE_THANG!$A$2:$A$1000,0))</f>
        <v>51L-802.46</v>
      </c>
      <c r="E7" s="25" t="str">
        <f>INDEX(VE_THANG!$I$2:$I$1000,MATCH($A7,VE_THANG!$A$2:$A$1000,0))</f>
        <v>BAI_Q7</v>
      </c>
      <c r="F7" s="29">
        <f>INDEX(VE_THANG!$G$2:$G$1000,MATCH($A7,VE_THANG!$A$2:$A$1000,0))</f>
        <v>46357</v>
      </c>
      <c r="G7" s="26">
        <f>INDEX(VE_THANG!$N$2:$N$1000,MATCH($A7,VE_THANG!$A$2:$A$1000,0))</f>
        <v>61</v>
      </c>
      <c r="H7" s="25" t="str">
        <f>INDEX(VE_THANG!$O$2:$O$1000,MATCH($A7,VE_THANG!$A$2:$A$1000,0))</f>
        <v>Còn hạn an toàn</v>
      </c>
      <c r="I7" s="25" t="str">
        <f>INDEX(VE_THANG!$P$2:$P$1000,MATCH($A7,VE_THANG!$A$2:$A$1000,0))</f>
        <v/>
      </c>
    </row>
    <row r="8" spans="1:9" x14ac:dyDescent="0.2">
      <c r="A8" s="16" t="s">
        <v>475</v>
      </c>
      <c r="B8" s="25" t="str">
        <f>INDEX(VE_THANG!$B$2:$B$1000,MATCH($A8,VE_THANG!$A$2:$A$1000,0))</f>
        <v>THE0002</v>
      </c>
      <c r="C8" s="25" t="str">
        <f>INDEX(VE_THANG!$L$2:$L$1000,MATCH($A8,VE_THANG!$A$2:$A$1000,0))</f>
        <v>Nguyễn Văn An</v>
      </c>
      <c r="D8" s="25" t="str">
        <f>INDEX(VE_THANG!$D$2:$D$1000,MATCH($A8,VE_THANG!$A$2:$A$1000,0))</f>
        <v>59A-123.45</v>
      </c>
      <c r="E8" s="25" t="str">
        <f>INDEX(VE_THANG!$I$2:$I$1000,MATCH($A8,VE_THANG!$A$2:$A$1000,0))</f>
        <v>BAI_Q1</v>
      </c>
      <c r="F8" s="29">
        <f>INDEX(VE_THANG!$G$2:$G$1000,MATCH($A8,VE_THANG!$A$2:$A$1000,0))</f>
        <v>46388</v>
      </c>
      <c r="G8" s="26">
        <f>INDEX(VE_THANG!$N$2:$N$1000,MATCH($A8,VE_THANG!$A$2:$A$1000,0))</f>
        <v>92</v>
      </c>
      <c r="H8" s="25" t="str">
        <f>INDEX(VE_THANG!$O$2:$O$1000,MATCH($A8,VE_THANG!$A$2:$A$1000,0))</f>
        <v>Còn hạn an toàn</v>
      </c>
      <c r="I8" s="25" t="str">
        <f>INDEX(VE_THANG!$P$2:$P$1000,MATCH($A8,VE_THANG!$A$2:$A$1000,0))</f>
        <v/>
      </c>
    </row>
    <row r="9" spans="1:9" x14ac:dyDescent="0.2">
      <c r="A9" s="16" t="s">
        <v>485</v>
      </c>
      <c r="B9" s="25" t="str">
        <f>INDEX(VE_THANG!$B$2:$B$1000,MATCH($A9,VE_THANG!$A$2:$A$1000,0))</f>
        <v>THE0012</v>
      </c>
      <c r="C9" s="25" t="str">
        <f>INDEX(VE_THANG!$L$2:$L$1000,MATCH($A9,VE_THANG!$A$2:$A$1000,0))</f>
        <v>Võ Minh Quân</v>
      </c>
      <c r="D9" s="25" t="str">
        <f>INDEX(VE_THANG!$D$2:$D$1000,MATCH($A9,VE_THANG!$A$2:$A$1000,0))</f>
        <v>59C-678.90</v>
      </c>
      <c r="E9" s="25" t="str">
        <f>INDEX(VE_THANG!$I$2:$I$1000,MATCH($A9,VE_THANG!$A$2:$A$1000,0))</f>
        <v>BAI_BT</v>
      </c>
      <c r="F9" s="29">
        <f>INDEX(VE_THANG!$G$2:$G$1000,MATCH($A9,VE_THANG!$A$2:$A$1000,0))</f>
        <v>46389</v>
      </c>
      <c r="G9" s="26">
        <f>INDEX(VE_THANG!$N$2:$N$1000,MATCH($A9,VE_THANG!$A$2:$A$1000,0))</f>
        <v>93</v>
      </c>
      <c r="H9" s="25" t="str">
        <f>INDEX(VE_THANG!$O$2:$O$1000,MATCH($A9,VE_THANG!$A$2:$A$1000,0))</f>
        <v>Còn hạn an toàn</v>
      </c>
      <c r="I9" s="25" t="str">
        <f>INDEX(VE_THANG!$P$2:$P$1000,MATCH($A9,VE_THANG!$A$2:$A$1000,0))</f>
        <v/>
      </c>
    </row>
    <row r="10" spans="1:9" x14ac:dyDescent="0.2">
      <c r="A10" s="16" t="s">
        <v>495</v>
      </c>
      <c r="B10" s="25" t="str">
        <f>INDEX(VE_THANG!$B$2:$B$1000,MATCH($A10,VE_THANG!$A$2:$A$1000,0))</f>
        <v>THE0014</v>
      </c>
      <c r="C10" s="25" t="str">
        <f>INDEX(VE_THANG!$L$2:$L$1000,MATCH($A10,VE_THANG!$A$2:$A$1000,0))</f>
        <v>Phan Gia Huy</v>
      </c>
      <c r="D10" s="25" t="str">
        <f>INDEX(VE_THANG!$D$2:$D$1000,MATCH($A10,VE_THANG!$A$2:$A$1000,0))</f>
        <v>51M-135.24</v>
      </c>
      <c r="E10" s="25" t="str">
        <f>INDEX(VE_THANG!$I$2:$I$1000,MATCH($A10,VE_THANG!$A$2:$A$1000,0))</f>
        <v>BAI_BT</v>
      </c>
      <c r="F10" s="29">
        <f>INDEX(VE_THANG!$G$2:$G$1000,MATCH($A10,VE_THANG!$A$2:$A$1000,0))</f>
        <v>46393</v>
      </c>
      <c r="G10" s="26">
        <f>INDEX(VE_THANG!$N$2:$N$1000,MATCH($A10,VE_THANG!$A$2:$A$1000,0))</f>
        <v>97</v>
      </c>
      <c r="H10" s="25" t="str">
        <f>INDEX(VE_THANG!$O$2:$O$1000,MATCH($A10,VE_THANG!$A$2:$A$1000,0))</f>
        <v>Còn hạn an toàn</v>
      </c>
      <c r="I10" s="25" t="str">
        <f>INDEX(VE_THANG!$P$2:$P$1000,MATCH($A10,VE_THANG!$A$2:$A$1000,0))</f>
        <v/>
      </c>
    </row>
    <row r="11" spans="1:9" x14ac:dyDescent="0.2">
      <c r="A11" s="16" t="s">
        <v>487</v>
      </c>
      <c r="B11" s="25" t="str">
        <f>INDEX(VE_THANG!$B$2:$B$1000,MATCH($A11,VE_THANG!$A$2:$A$1000,0))</f>
        <v>THE0017</v>
      </c>
      <c r="C11" s="25" t="str">
        <f>INDEX(VE_THANG!$L$2:$L$1000,MATCH($A11,VE_THANG!$A$2:$A$1000,0))</f>
        <v>Đỗ Thanh Phong</v>
      </c>
      <c r="D11" s="25" t="str">
        <f>INDEX(VE_THANG!$D$2:$D$1000,MATCH($A11,VE_THANG!$A$2:$A$1000,0))</f>
        <v>51K-246.80</v>
      </c>
      <c r="E11" s="25" t="str">
        <f>INDEX(VE_THANG!$I$2:$I$1000,MATCH($A11,VE_THANG!$A$2:$A$1000,0))</f>
        <v>BAI_TB</v>
      </c>
      <c r="F11" s="29">
        <f>INDEX(VE_THANG!$G$2:$G$1000,MATCH($A11,VE_THANG!$A$2:$A$1000,0))</f>
        <v>46447</v>
      </c>
      <c r="G11" s="26">
        <f>INDEX(VE_THANG!$N$2:$N$1000,MATCH($A11,VE_THANG!$A$2:$A$1000,0))</f>
        <v>151</v>
      </c>
      <c r="H11" s="25" t="str">
        <f>INDEX(VE_THANG!$O$2:$O$1000,MATCH($A11,VE_THANG!$A$2:$A$1000,0))</f>
        <v>Còn hạn an toàn</v>
      </c>
      <c r="I11" s="25" t="str">
        <f>INDEX(VE_THANG!$P$2:$P$1000,MATCH($A11,VE_THANG!$A$2:$A$1000,0))</f>
        <v/>
      </c>
    </row>
  </sheetData>
  <autoFilter ref="A1:I11" xr:uid="{00000000-0009-0000-0000-000011000000}"/>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17</vt:i4>
      </vt:variant>
      <vt:variant>
        <vt:lpstr>Named Ranges</vt:lpstr>
      </vt:variant>
      <vt:variant>
        <vt:i4>10</vt:i4>
      </vt:variant>
    </vt:vector>
  </HeadingPairs>
  <TitlesOfParts>
    <vt:vector size="27" baseType="lpstr">
      <vt:lpstr>HuongDan</vt:lpstr>
      <vt:lpstr>ThamSo</vt:lpstr>
      <vt:lpstr>KiemTra</vt:lpstr>
      <vt:lpstr>BAI_DO_XE</vt:lpstr>
      <vt:lpstr>NHAN_VIEN</vt:lpstr>
      <vt:lpstr>TAI_KHOAN</vt:lpstr>
      <vt:lpstr>LOAI_XE</vt:lpstr>
      <vt:lpstr>VI_TRI_DO</vt:lpstr>
      <vt:lpstr>THE_XE</vt:lpstr>
      <vt:lpstr>KHACH_HANG</vt:lpstr>
      <vt:lpstr>VE_THANG</vt:lpstr>
      <vt:lpstr>HOA_DON_VE_THANG</vt:lpstr>
      <vt:lpstr>LUOT_GUI</vt:lpstr>
      <vt:lpstr>LICHSU_SU_CO</vt:lpstr>
      <vt:lpstr>BC_CongSuat</vt:lpstr>
      <vt:lpstr>BC_DoanhThu</vt:lpstr>
      <vt:lpstr>BC_VeThang</vt:lpstr>
      <vt:lpstr>LechGioMayVsDB</vt:lpstr>
      <vt:lpstr>NguongCursorNgay</vt:lpstr>
      <vt:lpstr>NguongDoanhThuRatCao</vt:lpstr>
      <vt:lpstr>NguongDoanhThuTot</vt:lpstr>
      <vt:lpstr>NguongViewNgay</vt:lpstr>
      <vt:lpstr>PhatMatThe</vt:lpstr>
      <vt:lpstr>PhutMienPhi</vt:lpstr>
      <vt:lpstr>PhutMoiBlock</vt:lpstr>
      <vt:lpstr>ThoiDiemNap</vt:lpstr>
      <vt:lpstr>ThoiDiemTinh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Phong Dang</cp:lastModifiedBy>
  <cp:revision>0</cp:revision>
  <dcterms:created xsi:type="dcterms:W3CDTF">2026-10-01T10:49:56Z</dcterms:created>
  <dcterms:modified xsi:type="dcterms:W3CDTF">2026-10-01T11:03:03Z</dcterms:modified>
  <dc:language>en-US</dc:language>
</cp:coreProperties>
</file>